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lients" sheetId="2" state="visible" r:id="rId4"/>
    <sheet name="Requests" sheetId="3" state="visible" r:id="rId5"/>
    <sheet name="Payments" sheetId="4" state="visible" r:id="rId6"/>
    <sheet name="Renewals" sheetId="5" state="visible" r:id="rId7"/>
    <sheet name="Lists" sheetId="6" state="hidden" r:id="rId8"/>
  </sheets>
  <definedNames>
    <definedName function="false" hidden="true" localSheetId="1" name="_xlnm._FilterDatabase" vbProcedure="false">Clients!$A$1:$N$301</definedName>
    <definedName function="false" hidden="true" localSheetId="3" name="_xlnm._FilterDatabase" vbProcedure="false">Payments!$A$1:$K$301</definedName>
    <definedName function="false" hidden="true" localSheetId="4" name="_xlnm._FilterDatabase" vbProcedure="false">Renewals!$A$1:$G$301</definedName>
    <definedName function="false" hidden="true" localSheetId="2" name="_xlnm._FilterDatabase" vbProcedure="false">Requests!$A$1:$M$301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<sst xmlns="http://schemas.openxmlformats.org/spreadsheetml/2006/main" count="147" uniqueCount="119">
  <si>
    <t xml:space="preserve">HumanAI Concierge — Client Tracker</t>
  </si>
  <si>
    <t xml:space="preserve">Live summary — updates automatically from the other tabs. Example rows (grey italic) are included in counts; delete them when you start.</t>
  </si>
  <si>
    <t xml:space="preserve">Clients</t>
  </si>
  <si>
    <t xml:space="preserve">Total clients</t>
  </si>
  <si>
    <t xml:space="preserve">Clients with consent signed</t>
  </si>
  <si>
    <t xml:space="preserve">Requests</t>
  </si>
  <si>
    <t xml:space="preserve">New enquiries</t>
  </si>
  <si>
    <t xml:space="preserve">Quotes waiting for approval</t>
  </si>
  <si>
    <t xml:space="preserve">In progress</t>
  </si>
  <si>
    <t xml:space="preserve">Done</t>
  </si>
  <si>
    <t xml:space="preserve">Overdue (past due date, not done)</t>
  </si>
  <si>
    <t xml:space="preserve">Money</t>
  </si>
  <si>
    <t xml:space="preserve">Total invoiced incl. GST (₹)</t>
  </si>
  <si>
    <t xml:space="preserve">Received (₹)</t>
  </si>
  <si>
    <t xml:space="preserve">Pending (₹)</t>
  </si>
  <si>
    <t xml:space="preserve">Renewals</t>
  </si>
  <si>
    <t xml:space="preserve">Renewals due in next 14 days</t>
  </si>
  <si>
    <t xml:space="preserve">How to use</t>
  </si>
  <si>
    <t xml:space="preserve">1. Add each new client on the Clients tab (Client ID like HAC-C-002). Tick consent only after the consent form is signed.</t>
  </si>
  <si>
    <t xml:space="preserve">2. Log every request on the Requests tab with its status. Overdue rows turn red.</t>
  </si>
  <si>
    <t xml:space="preserve">3. Record invoices and payments on the Payments tab. GST is calculated from the rate in Payments!N1 (yellow cell — confirm with your CA).</t>
  </si>
  <si>
    <t xml:space="preserve">4. Add insurance/vehicle/passport/property-tax dates on the Renewals tab. Rows due within 14 days turn yellow.</t>
  </si>
  <si>
    <t xml:space="preserve">5. Grey italic row 2 on each tab is an example — overwrite or delete it.</t>
  </si>
  <si>
    <t xml:space="preserve">6. Keep this file private (Google Drive, shared only with partners). It contains personal data — delete client data after the 'Delete data after' date.</t>
  </si>
  <si>
    <t xml:space="preserve">Tip: upload to Google Drive and open with Google Sheets to use it on your phone.</t>
  </si>
  <si>
    <t xml:space="preserve">Client ID</t>
  </si>
  <si>
    <t xml:space="preserve">Name</t>
  </si>
  <si>
    <t xml:space="preserve">Phone / WhatsApp</t>
  </si>
  <si>
    <t xml:space="preserve">Email</t>
  </si>
  <si>
    <t xml:space="preserve">City, country</t>
  </si>
  <si>
    <t xml:space="preserve">Language</t>
  </si>
  <si>
    <t xml:space="preserve">Family member helped (name, relation)</t>
  </si>
  <si>
    <t xml:space="preserve">Their address (Bengaluru)</t>
  </si>
  <si>
    <t xml:space="preserve">Consent form signed?</t>
  </si>
  <si>
    <t xml:space="preserve">Consent date</t>
  </si>
  <si>
    <t xml:space="preserve">Plan</t>
  </si>
  <si>
    <t xml:space="preserve">Source</t>
  </si>
  <si>
    <t xml:space="preserve">Preferences / notes</t>
  </si>
  <si>
    <t xml:space="preserve">Delete data after</t>
  </si>
  <si>
    <t xml:space="preserve">HAC-C-001</t>
  </si>
  <si>
    <t xml:space="preserve">Example: Ravi Kumar</t>
  </si>
  <si>
    <t xml:space="preserve">+1 555 010 0000</t>
  </si>
  <si>
    <t xml:space="preserve">ravi@example.com</t>
  </si>
  <si>
    <t xml:space="preserve">Dallas, USA</t>
  </si>
  <si>
    <t xml:space="preserve">Kannada</t>
  </si>
  <si>
    <t xml:space="preserve">Mother – Sharada (amma)</t>
  </si>
  <si>
    <t xml:space="preserve">Jayanagar 4th Block</t>
  </si>
  <si>
    <t xml:space="preserve">Yes</t>
  </si>
  <si>
    <t xml:space="preserve">Monthly plan</t>
  </si>
  <si>
    <t xml:space="preserve">Friend/family</t>
  </si>
  <si>
    <t xml:space="preserve">Prefers morning visits; Apollo Clinic</t>
  </si>
  <si>
    <t xml:space="preserve">Request ID</t>
  </si>
  <si>
    <t xml:space="preserve">Date</t>
  </si>
  <si>
    <t xml:space="preserve">Client name</t>
  </si>
  <si>
    <t xml:space="preserve">Service</t>
  </si>
  <si>
    <t xml:space="preserve">What was asked</t>
  </si>
  <si>
    <t xml:space="preserve">Status</t>
  </si>
  <si>
    <t xml:space="preserve">Quote (₹)</t>
  </si>
  <si>
    <t xml:space="preserve">Third-party cost (₹)</t>
  </si>
  <si>
    <t xml:space="preserve">Due date</t>
  </si>
  <si>
    <t xml:space="preserve">Done date</t>
  </si>
  <si>
    <t xml:space="preserve">Summary sent?</t>
  </si>
  <si>
    <t xml:space="preserve">Notes</t>
  </si>
  <si>
    <t xml:space="preserve">HAC-R-001</t>
  </si>
  <si>
    <t xml:space="preserve">NRI Family Care</t>
  </si>
  <si>
    <t xml:space="preserve">Accompany amma to cardiology follow-up</t>
  </si>
  <si>
    <t xml:space="preserve">Cab + consultation receipts shared</t>
  </si>
  <si>
    <t xml:space="preserve">Invoice no</t>
  </si>
  <si>
    <t xml:space="preserve">Amount (₹)</t>
  </si>
  <si>
    <t xml:space="preserve">GST (₹)</t>
  </si>
  <si>
    <t xml:space="preserve">Total (₹)</t>
  </si>
  <si>
    <t xml:space="preserve">Mode</t>
  </si>
  <si>
    <t xml:space="preserve">Paid date</t>
  </si>
  <si>
    <t xml:space="preserve">Reference / UTR</t>
  </si>
  <si>
    <t xml:space="preserve">GST rate</t>
  </si>
  <si>
    <t xml:space="preserve">HAC-INV-001</t>
  </si>
  <si>
    <t xml:space="preserve">UPI</t>
  </si>
  <si>
    <t xml:space="preserve">Paid</t>
  </si>
  <si>
    <t xml:space="preserve">UPI ref 123456789</t>
  </si>
  <si>
    <t xml:space="preserve">← confirm rate with your CA</t>
  </si>
  <si>
    <t xml:space="preserve">What renews</t>
  </si>
  <si>
    <t xml:space="preserve">Remind on</t>
  </si>
  <si>
    <t xml:space="preserve">Days left</t>
  </si>
  <si>
    <t xml:space="preserve">Done?</t>
  </si>
  <si>
    <t xml:space="preserve">Amma's health insurance</t>
  </si>
  <si>
    <t xml:space="preserve">No</t>
  </si>
  <si>
    <t xml:space="preserve">Services</t>
  </si>
  <si>
    <t xml:space="preserve">Request status</t>
  </si>
  <si>
    <t xml:space="preserve">Payment status</t>
  </si>
  <si>
    <t xml:space="preserve">Payment mode</t>
  </si>
  <si>
    <t xml:space="preserve">Yes/No</t>
  </si>
  <si>
    <t xml:space="preserve">New enquiry</t>
  </si>
  <si>
    <t xml:space="preserve">Pending</t>
  </si>
  <si>
    <t xml:space="preserve">Pay per request</t>
  </si>
  <si>
    <t xml:space="preserve">English</t>
  </si>
  <si>
    <t xml:space="preserve">NRI Remote Shopping</t>
  </si>
  <si>
    <t xml:space="preserve">Quote sent</t>
  </si>
  <si>
    <t xml:space="preserve">Bank transfer</t>
  </si>
  <si>
    <t xml:space="preserve">WhatsApp group</t>
  </si>
  <si>
    <t xml:space="preserve">Coming Home Visit</t>
  </si>
  <si>
    <t xml:space="preserve">Approved</t>
  </si>
  <si>
    <t xml:space="preserve">Refunded</t>
  </si>
  <si>
    <t xml:space="preserve">Payment link</t>
  </si>
  <si>
    <t xml:space="preserve">Project</t>
  </si>
  <si>
    <t xml:space="preserve">Hindi</t>
  </si>
  <si>
    <t xml:space="preserve">Instagram</t>
  </si>
  <si>
    <t xml:space="preserve">Personal &amp; Household</t>
  </si>
  <si>
    <t xml:space="preserve">Cash (avoid)</t>
  </si>
  <si>
    <t xml:space="preserve">Other</t>
  </si>
  <si>
    <t xml:space="preserve">Facebook</t>
  </si>
  <si>
    <t xml:space="preserve">Senior Digital Help</t>
  </si>
  <si>
    <t xml:space="preserve">LinkedIn</t>
  </si>
  <si>
    <t xml:space="preserve">Wedding &amp; Events</t>
  </si>
  <si>
    <t xml:space="preserve">Cancelled</t>
  </si>
  <si>
    <t xml:space="preserve">Google</t>
  </si>
  <si>
    <t xml:space="preserve">Relocation</t>
  </si>
  <si>
    <t xml:space="preserve">Website</t>
  </si>
  <si>
    <t xml:space="preserve">Property Care</t>
  </si>
  <si>
    <t xml:space="preserve">Business Concierge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</si>
</sst>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₹#,##0;&quot;-₹&quot;#,##0;\-"/>
    <numFmt numFmtId="167" formatCode="dd\-mmm\-yyyy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F46E5"/>
      <name val="Arial"/>
      <family val="0"/>
      <charset val="1"/>
    </font>
    <font>
      <i val="true"/>
      <sz val="10"/>
      <color rgb="FF63678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4F46E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FFF8D6"/>
        <bgColor rgb="FFFFF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3E1EC"/>
      </left>
      <right style="thin">
        <color rgb="FFE3E1EC"/>
      </right>
      <top style="thin">
        <color rgb="FFE3E1EC"/>
      </top>
      <bottom style="thin">
        <color rgb="FFE3E1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F46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3678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DE2E1"/>
        </patternFill>
      </fill>
    </dxf>
    <dxf>
      <fill>
        <patternFill>
          <bgColor rgb="FFFFF3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6"/>
      <rgbColor rgb="FFCCFFFF"/>
      <rgbColor rgb="FF660066"/>
      <rgbColor rgb="FFFF8080"/>
      <rgbColor rgb="FF0066CC"/>
      <rgbColor rgb="FFE3E1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D6"/>
      <rgbColor rgb="FF99CCFF"/>
      <rgbColor rgb="FFFF99CC"/>
      <rgbColor rgb="FFCC99FF"/>
      <rgbColor rgb="FFFDE2E1"/>
      <rgbColor rgb="FF4F46E5"/>
      <rgbColor rgb="FF33CCCC"/>
      <rgbColor rgb="FF99CC00"/>
      <rgbColor rgb="FFFFCC00"/>
      <rgbColor rgb="FFFF9900"/>
      <rgbColor rgb="FFFF6600"/>
      <rgbColor rgb="FF63678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n">
        <f aca="false">COUNTA(Clients!A2:A301)</f>
        <v>1</v>
      </c>
    </row>
    <row r="6" customFormat="false" ht="15" hidden="false" customHeight="false" outlineLevel="0" collapsed="false">
      <c r="A6" s="5" t="s">
        <v>4</v>
      </c>
      <c r="B6" s="6" t="n">
        <f aca="false">COUNTIF(Clients!I2:I301,"Yes")</f>
        <v>1</v>
      </c>
    </row>
    <row r="7" customFormat="false" ht="15" hidden="false" customHeight="false" outlineLevel="0" collapsed="false">
      <c r="A7" s="3" t="s">
        <v>5</v>
      </c>
      <c r="B7" s="4"/>
    </row>
    <row r="8" customFormat="false" ht="15" hidden="false" customHeight="false" outlineLevel="0" collapsed="false">
      <c r="A8" s="5" t="s">
        <v>6</v>
      </c>
      <c r="B8" s="6" t="n">
        <f aca="false">COUNTIF(Requests!G2:G301,"New enquiry")</f>
        <v>0</v>
      </c>
    </row>
    <row r="9" customFormat="false" ht="15" hidden="false" customHeight="false" outlineLevel="0" collapsed="false">
      <c r="A9" s="5" t="s">
        <v>7</v>
      </c>
      <c r="B9" s="6" t="n">
        <f aca="false">COUNTIF(Requests!G2:G301,"Quote sent")</f>
        <v>0</v>
      </c>
    </row>
    <row r="10" customFormat="false" ht="15" hidden="false" customHeight="false" outlineLevel="0" collapsed="false">
      <c r="A10" s="5" t="s">
        <v>8</v>
      </c>
      <c r="B10" s="6" t="n">
        <f aca="false">COUNTIF(Requests!G2:G301,"In progress")+COUNTIF(Requests!G2:G301,"Approved")</f>
        <v>0</v>
      </c>
    </row>
    <row r="11" customFormat="false" ht="15" hidden="false" customHeight="false" outlineLevel="0" collapsed="false">
      <c r="A11" s="5" t="s">
        <v>9</v>
      </c>
      <c r="B11" s="6" t="n">
        <f aca="false">COUNTIF(Requests!G2:G301,"Done")</f>
        <v>1</v>
      </c>
    </row>
    <row r="12" customFormat="false" ht="15" hidden="false" customHeight="false" outlineLevel="0" collapsed="false">
      <c r="A12" s="5" t="s">
        <v>10</v>
      </c>
      <c r="B12" s="6" t="n">
        <f aca="true">SUMPRODUCT((Requests!J2:J301&lt;&gt;"")*(Requests!J2:J301&lt;TODAY())*(Requests!G2:G301&lt;&gt;"Done")*(Requests!G2:G301&lt;&gt;"Cancelled"))</f>
        <v>0</v>
      </c>
    </row>
    <row r="13" customFormat="false" ht="15" hidden="false" customHeight="false" outlineLevel="0" collapsed="false">
      <c r="A13" s="3" t="s">
        <v>11</v>
      </c>
      <c r="B13" s="4"/>
    </row>
    <row r="14" customFormat="false" ht="15" hidden="false" customHeight="false" outlineLevel="0" collapsed="false">
      <c r="A14" s="5" t="s">
        <v>12</v>
      </c>
      <c r="B14" s="7" t="n">
        <f aca="false">SUM(Payments!G2:G301)</f>
        <v>1770</v>
      </c>
    </row>
    <row r="15" customFormat="false" ht="15" hidden="false" customHeight="false" outlineLevel="0" collapsed="false">
      <c r="A15" s="5" t="s">
        <v>13</v>
      </c>
      <c r="B15" s="7" t="n">
        <f aca="false">SUMIFS(Payments!G2:G301,Payments!I2:I301,"Paid")</f>
        <v>1770</v>
      </c>
    </row>
    <row r="16" customFormat="false" ht="15" hidden="false" customHeight="false" outlineLevel="0" collapsed="false">
      <c r="A16" s="5" t="s">
        <v>14</v>
      </c>
      <c r="B16" s="7" t="n">
        <f aca="false">SUMIFS(Payments!G2:G301,Payments!I2:I301,"Pending")</f>
        <v>0</v>
      </c>
    </row>
    <row r="17" customFormat="false" ht="15" hidden="false" customHeight="false" outlineLevel="0" collapsed="false">
      <c r="A17" s="3" t="s">
        <v>15</v>
      </c>
      <c r="B17" s="4"/>
    </row>
    <row r="18" customFormat="false" ht="15" hidden="false" customHeight="false" outlineLevel="0" collapsed="false">
      <c r="A18" s="5" t="s">
        <v>16</v>
      </c>
      <c r="B18" s="6" t="n">
        <f aca="false">SUMPRODUCT((Renewals!F2:F301&lt;&gt;"")*(Renewals!F2:F301&lt;=14)*(Renewals!G2:G301&lt;&gt;"Yes"))</f>
        <v>0</v>
      </c>
    </row>
    <row r="20" customFormat="false" ht="15" hidden="false" customHeight="false" outlineLevel="0" collapsed="false">
      <c r="A20" s="8" t="s">
        <v>17</v>
      </c>
    </row>
    <row r="21" customFormat="false" ht="15" hidden="false" customHeight="false" outlineLevel="0" collapsed="false">
      <c r="A21" s="9" t="s">
        <v>18</v>
      </c>
    </row>
    <row r="22" customFormat="false" ht="15" hidden="false" customHeight="false" outlineLevel="0" collapsed="false">
      <c r="A22" s="9" t="s">
        <v>19</v>
      </c>
    </row>
    <row r="23" customFormat="false" ht="15" hidden="false" customHeight="false" outlineLevel="0" collapsed="false">
      <c r="A23" s="9" t="s">
        <v>20</v>
      </c>
    </row>
    <row r="24" customFormat="false" ht="15" hidden="false" customHeight="false" outlineLevel="0" collapsed="false">
      <c r="A24" s="9" t="s">
        <v>21</v>
      </c>
    </row>
    <row r="25" customFormat="false" ht="15" hidden="false" customHeight="false" outlineLevel="0" collapsed="false">
      <c r="A25" s="9" t="s">
        <v>22</v>
      </c>
    </row>
    <row r="26" customFormat="false" ht="15" hidden="false" customHeight="false" outlineLevel="0" collapsed="false">
      <c r="A26" s="9" t="s">
        <v>23</v>
      </c>
    </row>
    <row r="27" customFormat="false" ht="15" hidden="false" customHeight="false" outlineLevel="0" collapsed="false">
      <c r="A27" s="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8" min="7" style="0" width="28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5"/>
    <col collapsed="false" customWidth="true" hidden="false" outlineLevel="0" max="13" min="13" style="0" width="36"/>
    <col collapsed="false" customWidth="true" hidden="false" outlineLevel="0" max="14" min="14" style="0" width="15"/>
  </cols>
  <sheetData>
    <row r="1" customFormat="false" ht="30" hidden="false" customHeight="true" outlineLevel="0" collapsed="false">
      <c r="A1" s="10" t="s">
        <v>25</v>
      </c>
      <c r="B1" s="10" t="s">
        <v>26</v>
      </c>
      <c r="C1" s="10" t="s">
        <v>27</v>
      </c>
      <c r="D1" s="10" t="s">
        <v>28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36</v>
      </c>
      <c r="M1" s="10" t="s">
        <v>37</v>
      </c>
      <c r="N1" s="10" t="s">
        <v>38</v>
      </c>
    </row>
    <row r="2" customFormat="false" ht="15" hidden="false" customHeight="false" outlineLevel="0" collapsed="false">
      <c r="A2" s="11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I2" s="11" t="s">
        <v>47</v>
      </c>
      <c r="J2" s="12" t="n">
        <v>46300</v>
      </c>
      <c r="K2" s="11" t="s">
        <v>48</v>
      </c>
      <c r="L2" s="11" t="s">
        <v>49</v>
      </c>
      <c r="M2" s="11" t="s">
        <v>50</v>
      </c>
      <c r="N2" s="12" t="n">
        <f aca="false">IF(J2="","",DATE(YEAR(J2)+1,MONTH(J2),DAY(J2)))</f>
        <v>46665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13"/>
      <c r="K3" s="5"/>
      <c r="L3" s="5"/>
      <c r="M3" s="5"/>
      <c r="N3" s="13" t="str">
        <f aca="false">IF(J3="","",DATE(YEAR(J3)+1,MONTH(J3),DAY(J3)))</f>
        <v/>
      </c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13"/>
      <c r="K4" s="5"/>
      <c r="L4" s="5"/>
      <c r="M4" s="5"/>
      <c r="N4" s="13" t="str">
        <f aca="false">IF(J4="","",DATE(YEAR(J4)+1,MONTH(J4),DAY(J4)))</f>
        <v/>
      </c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13"/>
      <c r="K5" s="5"/>
      <c r="L5" s="5"/>
      <c r="M5" s="5"/>
      <c r="N5" s="13" t="str">
        <f aca="false">IF(J5="","",DATE(YEAR(J5)+1,MONTH(J5),DAY(J5)))</f>
        <v/>
      </c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13"/>
      <c r="K6" s="5"/>
      <c r="L6" s="5"/>
      <c r="M6" s="5"/>
      <c r="N6" s="13" t="str">
        <f aca="false">IF(J6="","",DATE(YEAR(J6)+1,MONTH(J6),DAY(J6)))</f>
        <v/>
      </c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13"/>
      <c r="K7" s="5"/>
      <c r="L7" s="5"/>
      <c r="M7" s="5"/>
      <c r="N7" s="13" t="str">
        <f aca="false">IF(J7="","",DATE(YEAR(J7)+1,MONTH(J7),DAY(J7)))</f>
        <v/>
      </c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13"/>
      <c r="K8" s="5"/>
      <c r="L8" s="5"/>
      <c r="M8" s="5"/>
      <c r="N8" s="13" t="str">
        <f aca="false">IF(J8="","",DATE(YEAR(J8)+1,MONTH(J8),DAY(J8)))</f>
        <v/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13"/>
      <c r="K9" s="5"/>
      <c r="L9" s="5"/>
      <c r="M9" s="5"/>
      <c r="N9" s="13" t="str">
        <f aca="false">IF(J9="","",DATE(YEAR(J9)+1,MONTH(J9),DAY(J9)))</f>
        <v/>
      </c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13"/>
      <c r="K10" s="5"/>
      <c r="L10" s="5"/>
      <c r="M10" s="5"/>
      <c r="N10" s="13" t="str">
        <f aca="false">IF(J10="","",DATE(YEAR(J10)+1,MONTH(J10),DAY(J10)))</f>
        <v/>
      </c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13"/>
      <c r="K11" s="5"/>
      <c r="L11" s="5"/>
      <c r="M11" s="5"/>
      <c r="N11" s="13" t="str">
        <f aca="false">IF(J11="","",DATE(YEAR(J11)+1,MONTH(J11),DAY(J11)))</f>
        <v/>
      </c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13"/>
      <c r="K12" s="5"/>
      <c r="L12" s="5"/>
      <c r="M12" s="5"/>
      <c r="N12" s="13" t="str">
        <f aca="false">IF(J12="","",DATE(YEAR(J12)+1,MONTH(J12),DAY(J12)))</f>
        <v/>
      </c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13"/>
      <c r="K13" s="5"/>
      <c r="L13" s="5"/>
      <c r="M13" s="5"/>
      <c r="N13" s="13" t="str">
        <f aca="false">IF(J13="","",DATE(YEAR(J13)+1,MONTH(J13),DAY(J13)))</f>
        <v/>
      </c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13"/>
      <c r="K14" s="5"/>
      <c r="L14" s="5"/>
      <c r="M14" s="5"/>
      <c r="N14" s="13" t="str">
        <f aca="false">IF(J14="","",DATE(YEAR(J14)+1,MONTH(J14),DAY(J14)))</f>
        <v/>
      </c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13"/>
      <c r="K15" s="5"/>
      <c r="L15" s="5"/>
      <c r="M15" s="5"/>
      <c r="N15" s="13" t="str">
        <f aca="false">IF(J15="","",DATE(YEAR(J15)+1,MONTH(J15),DAY(J15)))</f>
        <v/>
      </c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13"/>
      <c r="K16" s="5"/>
      <c r="L16" s="5"/>
      <c r="M16" s="5"/>
      <c r="N16" s="13" t="str">
        <f aca="false">IF(J16="","",DATE(YEAR(J16)+1,MONTH(J16),DAY(J16)))</f>
        <v/>
      </c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13"/>
      <c r="K17" s="5"/>
      <c r="L17" s="5"/>
      <c r="M17" s="5"/>
      <c r="N17" s="13" t="str">
        <f aca="false">IF(J17="","",DATE(YEAR(J17)+1,MONTH(J17),DAY(J17)))</f>
        <v/>
      </c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13"/>
      <c r="K18" s="5"/>
      <c r="L18" s="5"/>
      <c r="M18" s="5"/>
      <c r="N18" s="13" t="str">
        <f aca="false">IF(J18="","",DATE(YEAR(J18)+1,MONTH(J18),DAY(J18)))</f>
        <v/>
      </c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13"/>
      <c r="K19" s="5"/>
      <c r="L19" s="5"/>
      <c r="M19" s="5"/>
      <c r="N19" s="13" t="str">
        <f aca="false">IF(J19="","",DATE(YEAR(J19)+1,MONTH(J19),DAY(J19)))</f>
        <v/>
      </c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13"/>
      <c r="K20" s="5"/>
      <c r="L20" s="5"/>
      <c r="M20" s="5"/>
      <c r="N20" s="13" t="str">
        <f aca="false">IF(J20="","",DATE(YEAR(J20)+1,MONTH(J20),DAY(J20)))</f>
        <v/>
      </c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13"/>
      <c r="K21" s="5"/>
      <c r="L21" s="5"/>
      <c r="M21" s="5"/>
      <c r="N21" s="13" t="str">
        <f aca="false">IF(J21="","",DATE(YEAR(J21)+1,MONTH(J21),DAY(J21)))</f>
        <v/>
      </c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13"/>
      <c r="K22" s="5"/>
      <c r="L22" s="5"/>
      <c r="M22" s="5"/>
      <c r="N22" s="13" t="str">
        <f aca="false">IF(J22="","",DATE(YEAR(J22)+1,MONTH(J22),DAY(J22)))</f>
        <v/>
      </c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13"/>
      <c r="K23" s="5"/>
      <c r="L23" s="5"/>
      <c r="M23" s="5"/>
      <c r="N23" s="13" t="str">
        <f aca="false">IF(J23="","",DATE(YEAR(J23)+1,MONTH(J23),DAY(J23)))</f>
        <v/>
      </c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13"/>
      <c r="K24" s="5"/>
      <c r="L24" s="5"/>
      <c r="M24" s="5"/>
      <c r="N24" s="13" t="str">
        <f aca="false">IF(J24="","",DATE(YEAR(J24)+1,MONTH(J24),DAY(J24)))</f>
        <v/>
      </c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13"/>
      <c r="K25" s="5"/>
      <c r="L25" s="5"/>
      <c r="M25" s="5"/>
      <c r="N25" s="13" t="str">
        <f aca="false">IF(J25="","",DATE(YEAR(J25)+1,MONTH(J25),DAY(J25)))</f>
        <v/>
      </c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13"/>
      <c r="K26" s="5"/>
      <c r="L26" s="5"/>
      <c r="M26" s="5"/>
      <c r="N26" s="13" t="str">
        <f aca="false">IF(J26="","",DATE(YEAR(J26)+1,MONTH(J26),DAY(J26)))</f>
        <v/>
      </c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13"/>
      <c r="K27" s="5"/>
      <c r="L27" s="5"/>
      <c r="M27" s="5"/>
      <c r="N27" s="13" t="str">
        <f aca="false">IF(J27="","",DATE(YEAR(J27)+1,MONTH(J27),DAY(J27)))</f>
        <v/>
      </c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13"/>
      <c r="K28" s="5"/>
      <c r="L28" s="5"/>
      <c r="M28" s="5"/>
      <c r="N28" s="13" t="str">
        <f aca="false">IF(J28="","",DATE(YEAR(J28)+1,MONTH(J28),DAY(J28)))</f>
        <v/>
      </c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13"/>
      <c r="K29" s="5"/>
      <c r="L29" s="5"/>
      <c r="M29" s="5"/>
      <c r="N29" s="13" t="str">
        <f aca="false">IF(J29="","",DATE(YEAR(J29)+1,MONTH(J29),DAY(J29)))</f>
        <v/>
      </c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13"/>
      <c r="K30" s="5"/>
      <c r="L30" s="5"/>
      <c r="M30" s="5"/>
      <c r="N30" s="13" t="str">
        <f aca="false">IF(J30="","",DATE(YEAR(J30)+1,MONTH(J30),DAY(J30)))</f>
        <v/>
      </c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13"/>
      <c r="K31" s="5"/>
      <c r="L31" s="5"/>
      <c r="M31" s="5"/>
      <c r="N31" s="13" t="str">
        <f aca="false">IF(J31="","",DATE(YEAR(J31)+1,MONTH(J31),DAY(J31)))</f>
        <v/>
      </c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13"/>
      <c r="K32" s="5"/>
      <c r="L32" s="5"/>
      <c r="M32" s="5"/>
      <c r="N32" s="13" t="str">
        <f aca="false">IF(J32="","",DATE(YEAR(J32)+1,MONTH(J32),DAY(J32)))</f>
        <v/>
      </c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13"/>
      <c r="K33" s="5"/>
      <c r="L33" s="5"/>
      <c r="M33" s="5"/>
      <c r="N33" s="13" t="str">
        <f aca="false">IF(J33="","",DATE(YEAR(J33)+1,MONTH(J33),DAY(J33)))</f>
        <v/>
      </c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13"/>
      <c r="K34" s="5"/>
      <c r="L34" s="5"/>
      <c r="M34" s="5"/>
      <c r="N34" s="13" t="str">
        <f aca="false">IF(J34="","",DATE(YEAR(J34)+1,MONTH(J34),DAY(J34)))</f>
        <v/>
      </c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13"/>
      <c r="K35" s="5"/>
      <c r="L35" s="5"/>
      <c r="M35" s="5"/>
      <c r="N35" s="13" t="str">
        <f aca="false">IF(J35="","",DATE(YEAR(J35)+1,MONTH(J35),DAY(J35)))</f>
        <v/>
      </c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13"/>
      <c r="K36" s="5"/>
      <c r="L36" s="5"/>
      <c r="M36" s="5"/>
      <c r="N36" s="13" t="str">
        <f aca="false">IF(J36="","",DATE(YEAR(J36)+1,MONTH(J36),DAY(J36)))</f>
        <v/>
      </c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13"/>
      <c r="K37" s="5"/>
      <c r="L37" s="5"/>
      <c r="M37" s="5"/>
      <c r="N37" s="13" t="str">
        <f aca="false">IF(J37="","",DATE(YEAR(J37)+1,MONTH(J37),DAY(J37)))</f>
        <v/>
      </c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13"/>
      <c r="K38" s="5"/>
      <c r="L38" s="5"/>
      <c r="M38" s="5"/>
      <c r="N38" s="13" t="str">
        <f aca="false">IF(J38="","",DATE(YEAR(J38)+1,MONTH(J38),DAY(J38)))</f>
        <v/>
      </c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13"/>
      <c r="K39" s="5"/>
      <c r="L39" s="5"/>
      <c r="M39" s="5"/>
      <c r="N39" s="13" t="str">
        <f aca="false">IF(J39="","",DATE(YEAR(J39)+1,MONTH(J39),DAY(J39)))</f>
        <v/>
      </c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13"/>
      <c r="K40" s="5"/>
      <c r="L40" s="5"/>
      <c r="M40" s="5"/>
      <c r="N40" s="13" t="str">
        <f aca="false">IF(J40="","",DATE(YEAR(J40)+1,MONTH(J40),DAY(J40)))</f>
        <v/>
      </c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13"/>
      <c r="K41" s="5"/>
      <c r="L41" s="5"/>
      <c r="M41" s="5"/>
      <c r="N41" s="13" t="str">
        <f aca="false">IF(J41="","",DATE(YEAR(J41)+1,MONTH(J41),DAY(J41)))</f>
        <v/>
      </c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13"/>
      <c r="K42" s="5"/>
      <c r="L42" s="5"/>
      <c r="M42" s="5"/>
      <c r="N42" s="13" t="str">
        <f aca="false">IF(J42="","",DATE(YEAR(J42)+1,MONTH(J42),DAY(J42)))</f>
        <v/>
      </c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13"/>
      <c r="K43" s="5"/>
      <c r="L43" s="5"/>
      <c r="M43" s="5"/>
      <c r="N43" s="13" t="str">
        <f aca="false">IF(J43="","",DATE(YEAR(J43)+1,MONTH(J43),DAY(J43)))</f>
        <v/>
      </c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13"/>
      <c r="K44" s="5"/>
      <c r="L44" s="5"/>
      <c r="M44" s="5"/>
      <c r="N44" s="13" t="str">
        <f aca="false">IF(J44="","",DATE(YEAR(J44)+1,MONTH(J44),DAY(J44)))</f>
        <v/>
      </c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13"/>
      <c r="K45" s="5"/>
      <c r="L45" s="5"/>
      <c r="M45" s="5"/>
      <c r="N45" s="13" t="str">
        <f aca="false">IF(J45="","",DATE(YEAR(J45)+1,MONTH(J45),DAY(J45)))</f>
        <v/>
      </c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13"/>
      <c r="K46" s="5"/>
      <c r="L46" s="5"/>
      <c r="M46" s="5"/>
      <c r="N46" s="13" t="str">
        <f aca="false">IF(J46="","",DATE(YEAR(J46)+1,MONTH(J46),DAY(J46)))</f>
        <v/>
      </c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13"/>
      <c r="K47" s="5"/>
      <c r="L47" s="5"/>
      <c r="M47" s="5"/>
      <c r="N47" s="13" t="str">
        <f aca="false">IF(J47="","",DATE(YEAR(J47)+1,MONTH(J47),DAY(J47)))</f>
        <v/>
      </c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13"/>
      <c r="K48" s="5"/>
      <c r="L48" s="5"/>
      <c r="M48" s="5"/>
      <c r="N48" s="13" t="str">
        <f aca="false">IF(J48="","",DATE(YEAR(J48)+1,MONTH(J48),DAY(J48)))</f>
        <v/>
      </c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13"/>
      <c r="K49" s="5"/>
      <c r="L49" s="5"/>
      <c r="M49" s="5"/>
      <c r="N49" s="13" t="str">
        <f aca="false">IF(J49="","",DATE(YEAR(J49)+1,MONTH(J49),DAY(J49)))</f>
        <v/>
      </c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13"/>
      <c r="K50" s="5"/>
      <c r="L50" s="5"/>
      <c r="M50" s="5"/>
      <c r="N50" s="13" t="str">
        <f aca="false">IF(J50="","",DATE(YEAR(J50)+1,MONTH(J50),DAY(J50)))</f>
        <v/>
      </c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13"/>
      <c r="K51" s="5"/>
      <c r="L51" s="5"/>
      <c r="M51" s="5"/>
      <c r="N51" s="13" t="str">
        <f aca="false">IF(J51="","",DATE(YEAR(J51)+1,MONTH(J51),DAY(J51)))</f>
        <v/>
      </c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13"/>
      <c r="K52" s="5"/>
      <c r="L52" s="5"/>
      <c r="M52" s="5"/>
      <c r="N52" s="13" t="str">
        <f aca="false">IF(J52="","",DATE(YEAR(J52)+1,MONTH(J52),DAY(J52)))</f>
        <v/>
      </c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13"/>
      <c r="K53" s="5"/>
      <c r="L53" s="5"/>
      <c r="M53" s="5"/>
      <c r="N53" s="13" t="str">
        <f aca="false">IF(J53="","",DATE(YEAR(J53)+1,MONTH(J53),DAY(J53)))</f>
        <v/>
      </c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13"/>
      <c r="K54" s="5"/>
      <c r="L54" s="5"/>
      <c r="M54" s="5"/>
      <c r="N54" s="13" t="str">
        <f aca="false">IF(J54="","",DATE(YEAR(J54)+1,MONTH(J54),DAY(J54)))</f>
        <v/>
      </c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13"/>
      <c r="K55" s="5"/>
      <c r="L55" s="5"/>
      <c r="M55" s="5"/>
      <c r="N55" s="13" t="str">
        <f aca="false">IF(J55="","",DATE(YEAR(J55)+1,MONTH(J55),DAY(J55)))</f>
        <v/>
      </c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13"/>
      <c r="K56" s="5"/>
      <c r="L56" s="5"/>
      <c r="M56" s="5"/>
      <c r="N56" s="13" t="str">
        <f aca="false">IF(J56="","",DATE(YEAR(J56)+1,MONTH(J56),DAY(J56)))</f>
        <v/>
      </c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13"/>
      <c r="K57" s="5"/>
      <c r="L57" s="5"/>
      <c r="M57" s="5"/>
      <c r="N57" s="13" t="str">
        <f aca="false">IF(J57="","",DATE(YEAR(J57)+1,MONTH(J57),DAY(J57)))</f>
        <v/>
      </c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13"/>
      <c r="K58" s="5"/>
      <c r="L58" s="5"/>
      <c r="M58" s="5"/>
      <c r="N58" s="13" t="str">
        <f aca="false">IF(J58="","",DATE(YEAR(J58)+1,MONTH(J58),DAY(J58)))</f>
        <v/>
      </c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13"/>
      <c r="K59" s="5"/>
      <c r="L59" s="5"/>
      <c r="M59" s="5"/>
      <c r="N59" s="13" t="str">
        <f aca="false">IF(J59="","",DATE(YEAR(J59)+1,MONTH(J59),DAY(J59)))</f>
        <v/>
      </c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13"/>
      <c r="K60" s="5"/>
      <c r="L60" s="5"/>
      <c r="M60" s="5"/>
      <c r="N60" s="13" t="str">
        <f aca="false">IF(J60="","",DATE(YEAR(J60)+1,MONTH(J60),DAY(J60)))</f>
        <v/>
      </c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13"/>
      <c r="K61" s="5"/>
      <c r="L61" s="5"/>
      <c r="M61" s="5"/>
      <c r="N61" s="13" t="str">
        <f aca="false">IF(J61="","",DATE(YEAR(J61)+1,MONTH(J61),DAY(J61)))</f>
        <v/>
      </c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13"/>
      <c r="K62" s="5"/>
      <c r="L62" s="5"/>
      <c r="M62" s="5"/>
      <c r="N62" s="13" t="str">
        <f aca="false">IF(J62="","",DATE(YEAR(J62)+1,MONTH(J62),DAY(J62)))</f>
        <v/>
      </c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13"/>
      <c r="K63" s="5"/>
      <c r="L63" s="5"/>
      <c r="M63" s="5"/>
      <c r="N63" s="13" t="str">
        <f aca="false">IF(J63="","",DATE(YEAR(J63)+1,MONTH(J63),DAY(J63)))</f>
        <v/>
      </c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13"/>
      <c r="K64" s="5"/>
      <c r="L64" s="5"/>
      <c r="M64" s="5"/>
      <c r="N64" s="13" t="str">
        <f aca="false">IF(J64="","",DATE(YEAR(J64)+1,MONTH(J64),DAY(J64)))</f>
        <v/>
      </c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13"/>
      <c r="K65" s="5"/>
      <c r="L65" s="5"/>
      <c r="M65" s="5"/>
      <c r="N65" s="13" t="str">
        <f aca="false">IF(J65="","",DATE(YEAR(J65)+1,MONTH(J65),DAY(J65)))</f>
        <v/>
      </c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13"/>
      <c r="K66" s="5"/>
      <c r="L66" s="5"/>
      <c r="M66" s="5"/>
      <c r="N66" s="13" t="str">
        <f aca="false">IF(J66="","",DATE(YEAR(J66)+1,MONTH(J66),DAY(J66)))</f>
        <v/>
      </c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13"/>
      <c r="K67" s="5"/>
      <c r="L67" s="5"/>
      <c r="M67" s="5"/>
      <c r="N67" s="13" t="str">
        <f aca="false">IF(J67="","",DATE(YEAR(J67)+1,MONTH(J67),DAY(J67)))</f>
        <v/>
      </c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13"/>
      <c r="K68" s="5"/>
      <c r="L68" s="5"/>
      <c r="M68" s="5"/>
      <c r="N68" s="13" t="str">
        <f aca="false">IF(J68="","",DATE(YEAR(J68)+1,MONTH(J68),DAY(J68)))</f>
        <v/>
      </c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13"/>
      <c r="K69" s="5"/>
      <c r="L69" s="5"/>
      <c r="M69" s="5"/>
      <c r="N69" s="13" t="str">
        <f aca="false">IF(J69="","",DATE(YEAR(J69)+1,MONTH(J69),DAY(J69)))</f>
        <v/>
      </c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13"/>
      <c r="K70" s="5"/>
      <c r="L70" s="5"/>
      <c r="M70" s="5"/>
      <c r="N70" s="13" t="str">
        <f aca="false">IF(J70="","",DATE(YEAR(J70)+1,MONTH(J70),DAY(J70)))</f>
        <v/>
      </c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13"/>
      <c r="K71" s="5"/>
      <c r="L71" s="5"/>
      <c r="M71" s="5"/>
      <c r="N71" s="13" t="str">
        <f aca="false">IF(J71="","",DATE(YEAR(J71)+1,MONTH(J71),DAY(J71)))</f>
        <v/>
      </c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13"/>
      <c r="K72" s="5"/>
      <c r="L72" s="5"/>
      <c r="M72" s="5"/>
      <c r="N72" s="13" t="str">
        <f aca="false">IF(J72="","",DATE(YEAR(J72)+1,MONTH(J72),DAY(J72)))</f>
        <v/>
      </c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13"/>
      <c r="K73" s="5"/>
      <c r="L73" s="5"/>
      <c r="M73" s="5"/>
      <c r="N73" s="13" t="str">
        <f aca="false">IF(J73="","",DATE(YEAR(J73)+1,MONTH(J73),DAY(J73)))</f>
        <v/>
      </c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13"/>
      <c r="K74" s="5"/>
      <c r="L74" s="5"/>
      <c r="M74" s="5"/>
      <c r="N74" s="13" t="str">
        <f aca="false">IF(J74="","",DATE(YEAR(J74)+1,MONTH(J74),DAY(J74)))</f>
        <v/>
      </c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13"/>
      <c r="K75" s="5"/>
      <c r="L75" s="5"/>
      <c r="M75" s="5"/>
      <c r="N75" s="13" t="str">
        <f aca="false">IF(J75="","",DATE(YEAR(J75)+1,MONTH(J75),DAY(J75)))</f>
        <v/>
      </c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13"/>
      <c r="K76" s="5"/>
      <c r="L76" s="5"/>
      <c r="M76" s="5"/>
      <c r="N76" s="13" t="str">
        <f aca="false">IF(J76="","",DATE(YEAR(J76)+1,MONTH(J76),DAY(J76)))</f>
        <v/>
      </c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13"/>
      <c r="K77" s="5"/>
      <c r="L77" s="5"/>
      <c r="M77" s="5"/>
      <c r="N77" s="13" t="str">
        <f aca="false">IF(J77="","",DATE(YEAR(J77)+1,MONTH(J77),DAY(J77)))</f>
        <v/>
      </c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13"/>
      <c r="K78" s="5"/>
      <c r="L78" s="5"/>
      <c r="M78" s="5"/>
      <c r="N78" s="13" t="str">
        <f aca="false">IF(J78="","",DATE(YEAR(J78)+1,MONTH(J78),DAY(J78)))</f>
        <v/>
      </c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13"/>
      <c r="K79" s="5"/>
      <c r="L79" s="5"/>
      <c r="M79" s="5"/>
      <c r="N79" s="13" t="str">
        <f aca="false">IF(J79="","",DATE(YEAR(J79)+1,MONTH(J79),DAY(J79)))</f>
        <v/>
      </c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13"/>
      <c r="K80" s="5"/>
      <c r="L80" s="5"/>
      <c r="M80" s="5"/>
      <c r="N80" s="13" t="str">
        <f aca="false">IF(J80="","",DATE(YEAR(J80)+1,MONTH(J80),DAY(J80)))</f>
        <v/>
      </c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13"/>
      <c r="K81" s="5"/>
      <c r="L81" s="5"/>
      <c r="M81" s="5"/>
      <c r="N81" s="13" t="str">
        <f aca="false">IF(J81="","",DATE(YEAR(J81)+1,MONTH(J81),DAY(J81)))</f>
        <v/>
      </c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13"/>
      <c r="K82" s="5"/>
      <c r="L82" s="5"/>
      <c r="M82" s="5"/>
      <c r="N82" s="13" t="str">
        <f aca="false">IF(J82="","",DATE(YEAR(J82)+1,MONTH(J82),DAY(J82)))</f>
        <v/>
      </c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13"/>
      <c r="K83" s="5"/>
      <c r="L83" s="5"/>
      <c r="M83" s="5"/>
      <c r="N83" s="13" t="str">
        <f aca="false">IF(J83="","",DATE(YEAR(J83)+1,MONTH(J83),DAY(J83)))</f>
        <v/>
      </c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13"/>
      <c r="K84" s="5"/>
      <c r="L84" s="5"/>
      <c r="M84" s="5"/>
      <c r="N84" s="13" t="str">
        <f aca="false">IF(J84="","",DATE(YEAR(J84)+1,MONTH(J84),DAY(J84)))</f>
        <v/>
      </c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13"/>
      <c r="K85" s="5"/>
      <c r="L85" s="5"/>
      <c r="M85" s="5"/>
      <c r="N85" s="13" t="str">
        <f aca="false">IF(J85="","",DATE(YEAR(J85)+1,MONTH(J85),DAY(J85)))</f>
        <v/>
      </c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13"/>
      <c r="K86" s="5"/>
      <c r="L86" s="5"/>
      <c r="M86" s="5"/>
      <c r="N86" s="13" t="str">
        <f aca="false">IF(J86="","",DATE(YEAR(J86)+1,MONTH(J86),DAY(J86)))</f>
        <v/>
      </c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13"/>
      <c r="K87" s="5"/>
      <c r="L87" s="5"/>
      <c r="M87" s="5"/>
      <c r="N87" s="13" t="str">
        <f aca="false">IF(J87="","",DATE(YEAR(J87)+1,MONTH(J87),DAY(J87)))</f>
        <v/>
      </c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13"/>
      <c r="K88" s="5"/>
      <c r="L88" s="5"/>
      <c r="M88" s="5"/>
      <c r="N88" s="13" t="str">
        <f aca="false">IF(J88="","",DATE(YEAR(J88)+1,MONTH(J88),DAY(J88)))</f>
        <v/>
      </c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13"/>
      <c r="K89" s="5"/>
      <c r="L89" s="5"/>
      <c r="M89" s="5"/>
      <c r="N89" s="13" t="str">
        <f aca="false">IF(J89="","",DATE(YEAR(J89)+1,MONTH(J89),DAY(J89)))</f>
        <v/>
      </c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13"/>
      <c r="K90" s="5"/>
      <c r="L90" s="5"/>
      <c r="M90" s="5"/>
      <c r="N90" s="13" t="str">
        <f aca="false">IF(J90="","",DATE(YEAR(J90)+1,MONTH(J90),DAY(J90)))</f>
        <v/>
      </c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13"/>
      <c r="K91" s="5"/>
      <c r="L91" s="5"/>
      <c r="M91" s="5"/>
      <c r="N91" s="13" t="str">
        <f aca="false">IF(J91="","",DATE(YEAR(J91)+1,MONTH(J91),DAY(J91)))</f>
        <v/>
      </c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13"/>
      <c r="K92" s="5"/>
      <c r="L92" s="5"/>
      <c r="M92" s="5"/>
      <c r="N92" s="13" t="str">
        <f aca="false">IF(J92="","",DATE(YEAR(J92)+1,MONTH(J92),DAY(J92)))</f>
        <v/>
      </c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13"/>
      <c r="K93" s="5"/>
      <c r="L93" s="5"/>
      <c r="M93" s="5"/>
      <c r="N93" s="13" t="str">
        <f aca="false">IF(J93="","",DATE(YEAR(J93)+1,MONTH(J93),DAY(J93)))</f>
        <v/>
      </c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13"/>
      <c r="K94" s="5"/>
      <c r="L94" s="5"/>
      <c r="M94" s="5"/>
      <c r="N94" s="13" t="str">
        <f aca="false">IF(J94="","",DATE(YEAR(J94)+1,MONTH(J94),DAY(J94)))</f>
        <v/>
      </c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13"/>
      <c r="K95" s="5"/>
      <c r="L95" s="5"/>
      <c r="M95" s="5"/>
      <c r="N95" s="13" t="str">
        <f aca="false">IF(J95="","",DATE(YEAR(J95)+1,MONTH(J95),DAY(J95)))</f>
        <v/>
      </c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13"/>
      <c r="K96" s="5"/>
      <c r="L96" s="5"/>
      <c r="M96" s="5"/>
      <c r="N96" s="13" t="str">
        <f aca="false">IF(J96="","",DATE(YEAR(J96)+1,MONTH(J96),DAY(J96)))</f>
        <v/>
      </c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13"/>
      <c r="K97" s="5"/>
      <c r="L97" s="5"/>
      <c r="M97" s="5"/>
      <c r="N97" s="13" t="str">
        <f aca="false">IF(J97="","",DATE(YEAR(J97)+1,MONTH(J97),DAY(J97)))</f>
        <v/>
      </c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13"/>
      <c r="K98" s="5"/>
      <c r="L98" s="5"/>
      <c r="M98" s="5"/>
      <c r="N98" s="13" t="str">
        <f aca="false">IF(J98="","",DATE(YEAR(J98)+1,MONTH(J98),DAY(J98)))</f>
        <v/>
      </c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13"/>
      <c r="K99" s="5"/>
      <c r="L99" s="5"/>
      <c r="M99" s="5"/>
      <c r="N99" s="13" t="str">
        <f aca="false">IF(J99="","",DATE(YEAR(J99)+1,MONTH(J99),DAY(J99)))</f>
        <v/>
      </c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13"/>
      <c r="K100" s="5"/>
      <c r="L100" s="5"/>
      <c r="M100" s="5"/>
      <c r="N100" s="13" t="str">
        <f aca="false">IF(J100="","",DATE(YEAR(J100)+1,MONTH(J100),DAY(J100)))</f>
        <v/>
      </c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13"/>
      <c r="K101" s="5"/>
      <c r="L101" s="5"/>
      <c r="M101" s="5"/>
      <c r="N101" s="13" t="str">
        <f aca="false">IF(J101="","",DATE(YEAR(J101)+1,MONTH(J101),DAY(J101)))</f>
        <v/>
      </c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13"/>
      <c r="K102" s="5"/>
      <c r="L102" s="5"/>
      <c r="M102" s="5"/>
      <c r="N102" s="13" t="str">
        <f aca="false">IF(J102="","",DATE(YEAR(J102)+1,MONTH(J102),DAY(J102)))</f>
        <v/>
      </c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13"/>
      <c r="K103" s="5"/>
      <c r="L103" s="5"/>
      <c r="M103" s="5"/>
      <c r="N103" s="13" t="str">
        <f aca="false">IF(J103="","",DATE(YEAR(J103)+1,MONTH(J103),DAY(J103)))</f>
        <v/>
      </c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13"/>
      <c r="K104" s="5"/>
      <c r="L104" s="5"/>
      <c r="M104" s="5"/>
      <c r="N104" s="13" t="str">
        <f aca="false">IF(J104="","",DATE(YEAR(J104)+1,MONTH(J104),DAY(J104)))</f>
        <v/>
      </c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13"/>
      <c r="K105" s="5"/>
      <c r="L105" s="5"/>
      <c r="M105" s="5"/>
      <c r="N105" s="13" t="str">
        <f aca="false">IF(J105="","",DATE(YEAR(J105)+1,MONTH(J105),DAY(J105)))</f>
        <v/>
      </c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13"/>
      <c r="K106" s="5"/>
      <c r="L106" s="5"/>
      <c r="M106" s="5"/>
      <c r="N106" s="13" t="str">
        <f aca="false">IF(J106="","",DATE(YEAR(J106)+1,MONTH(J106),DAY(J106)))</f>
        <v/>
      </c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13"/>
      <c r="K107" s="5"/>
      <c r="L107" s="5"/>
      <c r="M107" s="5"/>
      <c r="N107" s="13" t="str">
        <f aca="false">IF(J107="","",DATE(YEAR(J107)+1,MONTH(J107),DAY(J107)))</f>
        <v/>
      </c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13"/>
      <c r="K108" s="5"/>
      <c r="L108" s="5"/>
      <c r="M108" s="5"/>
      <c r="N108" s="13" t="str">
        <f aca="false">IF(J108="","",DATE(YEAR(J108)+1,MONTH(J108),DAY(J108)))</f>
        <v/>
      </c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13"/>
      <c r="K109" s="5"/>
      <c r="L109" s="5"/>
      <c r="M109" s="5"/>
      <c r="N109" s="13" t="str">
        <f aca="false">IF(J109="","",DATE(YEAR(J109)+1,MONTH(J109),DAY(J109)))</f>
        <v/>
      </c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13"/>
      <c r="K110" s="5"/>
      <c r="L110" s="5"/>
      <c r="M110" s="5"/>
      <c r="N110" s="13" t="str">
        <f aca="false">IF(J110="","",DATE(YEAR(J110)+1,MONTH(J110),DAY(J110)))</f>
        <v/>
      </c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13"/>
      <c r="K111" s="5"/>
      <c r="L111" s="5"/>
      <c r="M111" s="5"/>
      <c r="N111" s="13" t="str">
        <f aca="false">IF(J111="","",DATE(YEAR(J111)+1,MONTH(J111),DAY(J111)))</f>
        <v/>
      </c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13"/>
      <c r="K112" s="5"/>
      <c r="L112" s="5"/>
      <c r="M112" s="5"/>
      <c r="N112" s="13" t="str">
        <f aca="false">IF(J112="","",DATE(YEAR(J112)+1,MONTH(J112),DAY(J112)))</f>
        <v/>
      </c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13"/>
      <c r="K113" s="5"/>
      <c r="L113" s="5"/>
      <c r="M113" s="5"/>
      <c r="N113" s="13" t="str">
        <f aca="false">IF(J113="","",DATE(YEAR(J113)+1,MONTH(J113),DAY(J113)))</f>
        <v/>
      </c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13"/>
      <c r="K114" s="5"/>
      <c r="L114" s="5"/>
      <c r="M114" s="5"/>
      <c r="N114" s="13" t="str">
        <f aca="false">IF(J114="","",DATE(YEAR(J114)+1,MONTH(J114),DAY(J114)))</f>
        <v/>
      </c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13"/>
      <c r="K115" s="5"/>
      <c r="L115" s="5"/>
      <c r="M115" s="5"/>
      <c r="N115" s="13" t="str">
        <f aca="false">IF(J115="","",DATE(YEAR(J115)+1,MONTH(J115),DAY(J115)))</f>
        <v/>
      </c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13"/>
      <c r="K116" s="5"/>
      <c r="L116" s="5"/>
      <c r="M116" s="5"/>
      <c r="N116" s="13" t="str">
        <f aca="false">IF(J116="","",DATE(YEAR(J116)+1,MONTH(J116),DAY(J116)))</f>
        <v/>
      </c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13"/>
      <c r="K117" s="5"/>
      <c r="L117" s="5"/>
      <c r="M117" s="5"/>
      <c r="N117" s="13" t="str">
        <f aca="false">IF(J117="","",DATE(YEAR(J117)+1,MONTH(J117),DAY(J117)))</f>
        <v/>
      </c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13"/>
      <c r="K118" s="5"/>
      <c r="L118" s="5"/>
      <c r="M118" s="5"/>
      <c r="N118" s="13" t="str">
        <f aca="false">IF(J118="","",DATE(YEAR(J118)+1,MONTH(J118),DAY(J118)))</f>
        <v/>
      </c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13"/>
      <c r="K119" s="5"/>
      <c r="L119" s="5"/>
      <c r="M119" s="5"/>
      <c r="N119" s="13" t="str">
        <f aca="false">IF(J119="","",DATE(YEAR(J119)+1,MONTH(J119),DAY(J119)))</f>
        <v/>
      </c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13"/>
      <c r="K120" s="5"/>
      <c r="L120" s="5"/>
      <c r="M120" s="5"/>
      <c r="N120" s="13" t="str">
        <f aca="false">IF(J120="","",DATE(YEAR(J120)+1,MONTH(J120),DAY(J120)))</f>
        <v/>
      </c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13"/>
      <c r="K121" s="5"/>
      <c r="L121" s="5"/>
      <c r="M121" s="5"/>
      <c r="N121" s="13" t="str">
        <f aca="false">IF(J121="","",DATE(YEAR(J121)+1,MONTH(J121),DAY(J121)))</f>
        <v/>
      </c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13"/>
      <c r="K122" s="5"/>
      <c r="L122" s="5"/>
      <c r="M122" s="5"/>
      <c r="N122" s="13" t="str">
        <f aca="false">IF(J122="","",DATE(YEAR(J122)+1,MONTH(J122),DAY(J122)))</f>
        <v/>
      </c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13"/>
      <c r="K123" s="5"/>
      <c r="L123" s="5"/>
      <c r="M123" s="5"/>
      <c r="N123" s="13" t="str">
        <f aca="false">IF(J123="","",DATE(YEAR(J123)+1,MONTH(J123),DAY(J123)))</f>
        <v/>
      </c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13"/>
      <c r="K124" s="5"/>
      <c r="L124" s="5"/>
      <c r="M124" s="5"/>
      <c r="N124" s="13" t="str">
        <f aca="false">IF(J124="","",DATE(YEAR(J124)+1,MONTH(J124),DAY(J124)))</f>
        <v/>
      </c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13"/>
      <c r="K125" s="5"/>
      <c r="L125" s="5"/>
      <c r="M125" s="5"/>
      <c r="N125" s="13" t="str">
        <f aca="false">IF(J125="","",DATE(YEAR(J125)+1,MONTH(J125),DAY(J125)))</f>
        <v/>
      </c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13"/>
      <c r="K126" s="5"/>
      <c r="L126" s="5"/>
      <c r="M126" s="5"/>
      <c r="N126" s="13" t="str">
        <f aca="false">IF(J126="","",DATE(YEAR(J126)+1,MONTH(J126),DAY(J126)))</f>
        <v/>
      </c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13"/>
      <c r="K127" s="5"/>
      <c r="L127" s="5"/>
      <c r="M127" s="5"/>
      <c r="N127" s="13" t="str">
        <f aca="false">IF(J127="","",DATE(YEAR(J127)+1,MONTH(J127),DAY(J127)))</f>
        <v/>
      </c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13"/>
      <c r="K128" s="5"/>
      <c r="L128" s="5"/>
      <c r="M128" s="5"/>
      <c r="N128" s="13" t="str">
        <f aca="false">IF(J128="","",DATE(YEAR(J128)+1,MONTH(J128),DAY(J128)))</f>
        <v/>
      </c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13"/>
      <c r="K129" s="5"/>
      <c r="L129" s="5"/>
      <c r="M129" s="5"/>
      <c r="N129" s="13" t="str">
        <f aca="false">IF(J129="","",DATE(YEAR(J129)+1,MONTH(J129),DAY(J129)))</f>
        <v/>
      </c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13"/>
      <c r="K130" s="5"/>
      <c r="L130" s="5"/>
      <c r="M130" s="5"/>
      <c r="N130" s="13" t="str">
        <f aca="false">IF(J130="","",DATE(YEAR(J130)+1,MONTH(J130),DAY(J130)))</f>
        <v/>
      </c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13"/>
      <c r="K131" s="5"/>
      <c r="L131" s="5"/>
      <c r="M131" s="5"/>
      <c r="N131" s="13" t="str">
        <f aca="false">IF(J131="","",DATE(YEAR(J131)+1,MONTH(J131),DAY(J131)))</f>
        <v/>
      </c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13"/>
      <c r="K132" s="5"/>
      <c r="L132" s="5"/>
      <c r="M132" s="5"/>
      <c r="N132" s="13" t="str">
        <f aca="false">IF(J132="","",DATE(YEAR(J132)+1,MONTH(J132),DAY(J132)))</f>
        <v/>
      </c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13"/>
      <c r="K133" s="5"/>
      <c r="L133" s="5"/>
      <c r="M133" s="5"/>
      <c r="N133" s="13" t="str">
        <f aca="false">IF(J133="","",DATE(YEAR(J133)+1,MONTH(J133),DAY(J133)))</f>
        <v/>
      </c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13"/>
      <c r="K134" s="5"/>
      <c r="L134" s="5"/>
      <c r="M134" s="5"/>
      <c r="N134" s="13" t="str">
        <f aca="false">IF(J134="","",DATE(YEAR(J134)+1,MONTH(J134),DAY(J134)))</f>
        <v/>
      </c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13"/>
      <c r="K135" s="5"/>
      <c r="L135" s="5"/>
      <c r="M135" s="5"/>
      <c r="N135" s="13" t="str">
        <f aca="false">IF(J135="","",DATE(YEAR(J135)+1,MONTH(J135),DAY(J135)))</f>
        <v/>
      </c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13"/>
      <c r="K136" s="5"/>
      <c r="L136" s="5"/>
      <c r="M136" s="5"/>
      <c r="N136" s="13" t="str">
        <f aca="false">IF(J136="","",DATE(YEAR(J136)+1,MONTH(J136),DAY(J136)))</f>
        <v/>
      </c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13"/>
      <c r="K137" s="5"/>
      <c r="L137" s="5"/>
      <c r="M137" s="5"/>
      <c r="N137" s="13" t="str">
        <f aca="false">IF(J137="","",DATE(YEAR(J137)+1,MONTH(J137),DAY(J137)))</f>
        <v/>
      </c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13"/>
      <c r="K138" s="5"/>
      <c r="L138" s="5"/>
      <c r="M138" s="5"/>
      <c r="N138" s="13" t="str">
        <f aca="false">IF(J138="","",DATE(YEAR(J138)+1,MONTH(J138),DAY(J138)))</f>
        <v/>
      </c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13"/>
      <c r="K139" s="5"/>
      <c r="L139" s="5"/>
      <c r="M139" s="5"/>
      <c r="N139" s="13" t="str">
        <f aca="false">IF(J139="","",DATE(YEAR(J139)+1,MONTH(J139),DAY(J139)))</f>
        <v/>
      </c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13"/>
      <c r="K140" s="5"/>
      <c r="L140" s="5"/>
      <c r="M140" s="5"/>
      <c r="N140" s="13" t="str">
        <f aca="false">IF(J140="","",DATE(YEAR(J140)+1,MONTH(J140),DAY(J140)))</f>
        <v/>
      </c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13"/>
      <c r="K141" s="5"/>
      <c r="L141" s="5"/>
      <c r="M141" s="5"/>
      <c r="N141" s="13" t="str">
        <f aca="false">IF(J141="","",DATE(YEAR(J141)+1,MONTH(J141),DAY(J141)))</f>
        <v/>
      </c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13"/>
      <c r="K142" s="5"/>
      <c r="L142" s="5"/>
      <c r="M142" s="5"/>
      <c r="N142" s="13" t="str">
        <f aca="false">IF(J142="","",DATE(YEAR(J142)+1,MONTH(J142),DAY(J142)))</f>
        <v/>
      </c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13"/>
      <c r="K143" s="5"/>
      <c r="L143" s="5"/>
      <c r="M143" s="5"/>
      <c r="N143" s="13" t="str">
        <f aca="false">IF(J143="","",DATE(YEAR(J143)+1,MONTH(J143),DAY(J143)))</f>
        <v/>
      </c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13"/>
      <c r="K144" s="5"/>
      <c r="L144" s="5"/>
      <c r="M144" s="5"/>
      <c r="N144" s="13" t="str">
        <f aca="false">IF(J144="","",DATE(YEAR(J144)+1,MONTH(J144),DAY(J144)))</f>
        <v/>
      </c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13"/>
      <c r="K145" s="5"/>
      <c r="L145" s="5"/>
      <c r="M145" s="5"/>
      <c r="N145" s="13" t="str">
        <f aca="false">IF(J145="","",DATE(YEAR(J145)+1,MONTH(J145),DAY(J145)))</f>
        <v/>
      </c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13"/>
      <c r="K146" s="5"/>
      <c r="L146" s="5"/>
      <c r="M146" s="5"/>
      <c r="N146" s="13" t="str">
        <f aca="false">IF(J146="","",DATE(YEAR(J146)+1,MONTH(J146),DAY(J146)))</f>
        <v/>
      </c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13"/>
      <c r="K147" s="5"/>
      <c r="L147" s="5"/>
      <c r="M147" s="5"/>
      <c r="N147" s="13" t="str">
        <f aca="false">IF(J147="","",DATE(YEAR(J147)+1,MONTH(J147),DAY(J147)))</f>
        <v/>
      </c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13"/>
      <c r="K148" s="5"/>
      <c r="L148" s="5"/>
      <c r="M148" s="5"/>
      <c r="N148" s="13" t="str">
        <f aca="false">IF(J148="","",DATE(YEAR(J148)+1,MONTH(J148),DAY(J148)))</f>
        <v/>
      </c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13"/>
      <c r="K149" s="5"/>
      <c r="L149" s="5"/>
      <c r="M149" s="5"/>
      <c r="N149" s="13" t="str">
        <f aca="false">IF(J149="","",DATE(YEAR(J149)+1,MONTH(J149),DAY(J149)))</f>
        <v/>
      </c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13"/>
      <c r="K150" s="5"/>
      <c r="L150" s="5"/>
      <c r="M150" s="5"/>
      <c r="N150" s="13" t="str">
        <f aca="false">IF(J150="","",DATE(YEAR(J150)+1,MONTH(J150),DAY(J150)))</f>
        <v/>
      </c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13"/>
      <c r="K151" s="5"/>
      <c r="L151" s="5"/>
      <c r="M151" s="5"/>
      <c r="N151" s="13" t="str">
        <f aca="false">IF(J151="","",DATE(YEAR(J151)+1,MONTH(J151),DAY(J151)))</f>
        <v/>
      </c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13"/>
      <c r="K152" s="5"/>
      <c r="L152" s="5"/>
      <c r="M152" s="5"/>
      <c r="N152" s="13" t="str">
        <f aca="false">IF(J152="","",DATE(YEAR(J152)+1,MONTH(J152),DAY(J152)))</f>
        <v/>
      </c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13"/>
      <c r="K153" s="5"/>
      <c r="L153" s="5"/>
      <c r="M153" s="5"/>
      <c r="N153" s="13" t="str">
        <f aca="false">IF(J153="","",DATE(YEAR(J153)+1,MONTH(J153),DAY(J153)))</f>
        <v/>
      </c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13"/>
      <c r="K154" s="5"/>
      <c r="L154" s="5"/>
      <c r="M154" s="5"/>
      <c r="N154" s="13" t="str">
        <f aca="false">IF(J154="","",DATE(YEAR(J154)+1,MONTH(J154),DAY(J154)))</f>
        <v/>
      </c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13"/>
      <c r="K155" s="5"/>
      <c r="L155" s="5"/>
      <c r="M155" s="5"/>
      <c r="N155" s="13" t="str">
        <f aca="false">IF(J155="","",DATE(YEAR(J155)+1,MONTH(J155),DAY(J155)))</f>
        <v/>
      </c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13"/>
      <c r="K156" s="5"/>
      <c r="L156" s="5"/>
      <c r="M156" s="5"/>
      <c r="N156" s="13" t="str">
        <f aca="false">IF(J156="","",DATE(YEAR(J156)+1,MONTH(J156),DAY(J156)))</f>
        <v/>
      </c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13"/>
      <c r="K157" s="5"/>
      <c r="L157" s="5"/>
      <c r="M157" s="5"/>
      <c r="N157" s="13" t="str">
        <f aca="false">IF(J157="","",DATE(YEAR(J157)+1,MONTH(J157),DAY(J157)))</f>
        <v/>
      </c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13"/>
      <c r="K158" s="5"/>
      <c r="L158" s="5"/>
      <c r="M158" s="5"/>
      <c r="N158" s="13" t="str">
        <f aca="false">IF(J158="","",DATE(YEAR(J158)+1,MONTH(J158),DAY(J158)))</f>
        <v/>
      </c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13"/>
      <c r="K159" s="5"/>
      <c r="L159" s="5"/>
      <c r="M159" s="5"/>
      <c r="N159" s="13" t="str">
        <f aca="false">IF(J159="","",DATE(YEAR(J159)+1,MONTH(J159),DAY(J159)))</f>
        <v/>
      </c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13"/>
      <c r="K160" s="5"/>
      <c r="L160" s="5"/>
      <c r="M160" s="5"/>
      <c r="N160" s="13" t="str">
        <f aca="false">IF(J160="","",DATE(YEAR(J160)+1,MONTH(J160),DAY(J160)))</f>
        <v/>
      </c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13"/>
      <c r="K161" s="5"/>
      <c r="L161" s="5"/>
      <c r="M161" s="5"/>
      <c r="N161" s="13" t="str">
        <f aca="false">IF(J161="","",DATE(YEAR(J161)+1,MONTH(J161),DAY(J161)))</f>
        <v/>
      </c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13"/>
      <c r="K162" s="5"/>
      <c r="L162" s="5"/>
      <c r="M162" s="5"/>
      <c r="N162" s="13" t="str">
        <f aca="false">IF(J162="","",DATE(YEAR(J162)+1,MONTH(J162),DAY(J162)))</f>
        <v/>
      </c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13"/>
      <c r="K163" s="5"/>
      <c r="L163" s="5"/>
      <c r="M163" s="5"/>
      <c r="N163" s="13" t="str">
        <f aca="false">IF(J163="","",DATE(YEAR(J163)+1,MONTH(J163),DAY(J163)))</f>
        <v/>
      </c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13"/>
      <c r="K164" s="5"/>
      <c r="L164" s="5"/>
      <c r="M164" s="5"/>
      <c r="N164" s="13" t="str">
        <f aca="false">IF(J164="","",DATE(YEAR(J164)+1,MONTH(J164),DAY(J164)))</f>
        <v/>
      </c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13"/>
      <c r="K165" s="5"/>
      <c r="L165" s="5"/>
      <c r="M165" s="5"/>
      <c r="N165" s="13" t="str">
        <f aca="false">IF(J165="","",DATE(YEAR(J165)+1,MONTH(J165),DAY(J165)))</f>
        <v/>
      </c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13"/>
      <c r="K166" s="5"/>
      <c r="L166" s="5"/>
      <c r="M166" s="5"/>
      <c r="N166" s="13" t="str">
        <f aca="false">IF(J166="","",DATE(YEAR(J166)+1,MONTH(J166),DAY(J166)))</f>
        <v/>
      </c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13"/>
      <c r="K167" s="5"/>
      <c r="L167" s="5"/>
      <c r="M167" s="5"/>
      <c r="N167" s="13" t="str">
        <f aca="false">IF(J167="","",DATE(YEAR(J167)+1,MONTH(J167),DAY(J167)))</f>
        <v/>
      </c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13"/>
      <c r="K168" s="5"/>
      <c r="L168" s="5"/>
      <c r="M168" s="5"/>
      <c r="N168" s="13" t="str">
        <f aca="false">IF(J168="","",DATE(YEAR(J168)+1,MONTH(J168),DAY(J168)))</f>
        <v/>
      </c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13"/>
      <c r="K169" s="5"/>
      <c r="L169" s="5"/>
      <c r="M169" s="5"/>
      <c r="N169" s="13" t="str">
        <f aca="false">IF(J169="","",DATE(YEAR(J169)+1,MONTH(J169),DAY(J169)))</f>
        <v/>
      </c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13"/>
      <c r="K170" s="5"/>
      <c r="L170" s="5"/>
      <c r="M170" s="5"/>
      <c r="N170" s="13" t="str">
        <f aca="false">IF(J170="","",DATE(YEAR(J170)+1,MONTH(J170),DAY(J170)))</f>
        <v/>
      </c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13"/>
      <c r="K171" s="5"/>
      <c r="L171" s="5"/>
      <c r="M171" s="5"/>
      <c r="N171" s="13" t="str">
        <f aca="false">IF(J171="","",DATE(YEAR(J171)+1,MONTH(J171),DAY(J171)))</f>
        <v/>
      </c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13"/>
      <c r="K172" s="5"/>
      <c r="L172" s="5"/>
      <c r="M172" s="5"/>
      <c r="N172" s="13" t="str">
        <f aca="false">IF(J172="","",DATE(YEAR(J172)+1,MONTH(J172),DAY(J172)))</f>
        <v/>
      </c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13"/>
      <c r="K173" s="5"/>
      <c r="L173" s="5"/>
      <c r="M173" s="5"/>
      <c r="N173" s="13" t="str">
        <f aca="false">IF(J173="","",DATE(YEAR(J173)+1,MONTH(J173),DAY(J173)))</f>
        <v/>
      </c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13"/>
      <c r="K174" s="5"/>
      <c r="L174" s="5"/>
      <c r="M174" s="5"/>
      <c r="N174" s="13" t="str">
        <f aca="false">IF(J174="","",DATE(YEAR(J174)+1,MONTH(J174),DAY(J174)))</f>
        <v/>
      </c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13"/>
      <c r="K175" s="5"/>
      <c r="L175" s="5"/>
      <c r="M175" s="5"/>
      <c r="N175" s="13" t="str">
        <f aca="false">IF(J175="","",DATE(YEAR(J175)+1,MONTH(J175),DAY(J175)))</f>
        <v/>
      </c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13"/>
      <c r="K176" s="5"/>
      <c r="L176" s="5"/>
      <c r="M176" s="5"/>
      <c r="N176" s="13" t="str">
        <f aca="false">IF(J176="","",DATE(YEAR(J176)+1,MONTH(J176),DAY(J176)))</f>
        <v/>
      </c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13"/>
      <c r="K177" s="5"/>
      <c r="L177" s="5"/>
      <c r="M177" s="5"/>
      <c r="N177" s="13" t="str">
        <f aca="false">IF(J177="","",DATE(YEAR(J177)+1,MONTH(J177),DAY(J177)))</f>
        <v/>
      </c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13"/>
      <c r="K178" s="5"/>
      <c r="L178" s="5"/>
      <c r="M178" s="5"/>
      <c r="N178" s="13" t="str">
        <f aca="false">IF(J178="","",DATE(YEAR(J178)+1,MONTH(J178),DAY(J178)))</f>
        <v/>
      </c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13"/>
      <c r="K179" s="5"/>
      <c r="L179" s="5"/>
      <c r="M179" s="5"/>
      <c r="N179" s="13" t="str">
        <f aca="false">IF(J179="","",DATE(YEAR(J179)+1,MONTH(J179),DAY(J179)))</f>
        <v/>
      </c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13"/>
      <c r="K180" s="5"/>
      <c r="L180" s="5"/>
      <c r="M180" s="5"/>
      <c r="N180" s="13" t="str">
        <f aca="false">IF(J180="","",DATE(YEAR(J180)+1,MONTH(J180),DAY(J180)))</f>
        <v/>
      </c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13"/>
      <c r="K181" s="5"/>
      <c r="L181" s="5"/>
      <c r="M181" s="5"/>
      <c r="N181" s="13" t="str">
        <f aca="false">IF(J181="","",DATE(YEAR(J181)+1,MONTH(J181),DAY(J181)))</f>
        <v/>
      </c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13"/>
      <c r="K182" s="5"/>
      <c r="L182" s="5"/>
      <c r="M182" s="5"/>
      <c r="N182" s="13" t="str">
        <f aca="false">IF(J182="","",DATE(YEAR(J182)+1,MONTH(J182),DAY(J182)))</f>
        <v/>
      </c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13"/>
      <c r="K183" s="5"/>
      <c r="L183" s="5"/>
      <c r="M183" s="5"/>
      <c r="N183" s="13" t="str">
        <f aca="false">IF(J183="","",DATE(YEAR(J183)+1,MONTH(J183),DAY(J183)))</f>
        <v/>
      </c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13"/>
      <c r="K184" s="5"/>
      <c r="L184" s="5"/>
      <c r="M184" s="5"/>
      <c r="N184" s="13" t="str">
        <f aca="false">IF(J184="","",DATE(YEAR(J184)+1,MONTH(J184),DAY(J184)))</f>
        <v/>
      </c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13"/>
      <c r="K185" s="5"/>
      <c r="L185" s="5"/>
      <c r="M185" s="5"/>
      <c r="N185" s="13" t="str">
        <f aca="false">IF(J185="","",DATE(YEAR(J185)+1,MONTH(J185),DAY(J185)))</f>
        <v/>
      </c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13"/>
      <c r="K186" s="5"/>
      <c r="L186" s="5"/>
      <c r="M186" s="5"/>
      <c r="N186" s="13" t="str">
        <f aca="false">IF(J186="","",DATE(YEAR(J186)+1,MONTH(J186),DAY(J186)))</f>
        <v/>
      </c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13"/>
      <c r="K187" s="5"/>
      <c r="L187" s="5"/>
      <c r="M187" s="5"/>
      <c r="N187" s="13" t="str">
        <f aca="false">IF(J187="","",DATE(YEAR(J187)+1,MONTH(J187),DAY(J187)))</f>
        <v/>
      </c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13"/>
      <c r="K188" s="5"/>
      <c r="L188" s="5"/>
      <c r="M188" s="5"/>
      <c r="N188" s="13" t="str">
        <f aca="false">IF(J188="","",DATE(YEAR(J188)+1,MONTH(J188),DAY(J188)))</f>
        <v/>
      </c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13"/>
      <c r="K189" s="5"/>
      <c r="L189" s="5"/>
      <c r="M189" s="5"/>
      <c r="N189" s="13" t="str">
        <f aca="false">IF(J189="","",DATE(YEAR(J189)+1,MONTH(J189),DAY(J189)))</f>
        <v/>
      </c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13"/>
      <c r="K190" s="5"/>
      <c r="L190" s="5"/>
      <c r="M190" s="5"/>
      <c r="N190" s="13" t="str">
        <f aca="false">IF(J190="","",DATE(YEAR(J190)+1,MONTH(J190),DAY(J190)))</f>
        <v/>
      </c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13"/>
      <c r="K191" s="5"/>
      <c r="L191" s="5"/>
      <c r="M191" s="5"/>
      <c r="N191" s="13" t="str">
        <f aca="false">IF(J191="","",DATE(YEAR(J191)+1,MONTH(J191),DAY(J191)))</f>
        <v/>
      </c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13"/>
      <c r="K192" s="5"/>
      <c r="L192" s="5"/>
      <c r="M192" s="5"/>
      <c r="N192" s="13" t="str">
        <f aca="false">IF(J192="","",DATE(YEAR(J192)+1,MONTH(J192),DAY(J192)))</f>
        <v/>
      </c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13"/>
      <c r="K193" s="5"/>
      <c r="L193" s="5"/>
      <c r="M193" s="5"/>
      <c r="N193" s="13" t="str">
        <f aca="false">IF(J193="","",DATE(YEAR(J193)+1,MONTH(J193),DAY(J193)))</f>
        <v/>
      </c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13"/>
      <c r="K194" s="5"/>
      <c r="L194" s="5"/>
      <c r="M194" s="5"/>
      <c r="N194" s="13" t="str">
        <f aca="false">IF(J194="","",DATE(YEAR(J194)+1,MONTH(J194),DAY(J194)))</f>
        <v/>
      </c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13"/>
      <c r="K195" s="5"/>
      <c r="L195" s="5"/>
      <c r="M195" s="5"/>
      <c r="N195" s="13" t="str">
        <f aca="false">IF(J195="","",DATE(YEAR(J195)+1,MONTH(J195),DAY(J195)))</f>
        <v/>
      </c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13"/>
      <c r="K196" s="5"/>
      <c r="L196" s="5"/>
      <c r="M196" s="5"/>
      <c r="N196" s="13" t="str">
        <f aca="false">IF(J196="","",DATE(YEAR(J196)+1,MONTH(J196),DAY(J196)))</f>
        <v/>
      </c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13"/>
      <c r="K197" s="5"/>
      <c r="L197" s="5"/>
      <c r="M197" s="5"/>
      <c r="N197" s="13" t="str">
        <f aca="false">IF(J197="","",DATE(YEAR(J197)+1,MONTH(J197),DAY(J197)))</f>
        <v/>
      </c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13"/>
      <c r="K198" s="5"/>
      <c r="L198" s="5"/>
      <c r="M198" s="5"/>
      <c r="N198" s="13" t="str">
        <f aca="false">IF(J198="","",DATE(YEAR(J198)+1,MONTH(J198),DAY(J198)))</f>
        <v/>
      </c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13"/>
      <c r="K199" s="5"/>
      <c r="L199" s="5"/>
      <c r="M199" s="5"/>
      <c r="N199" s="13" t="str">
        <f aca="false">IF(J199="","",DATE(YEAR(J199)+1,MONTH(J199),DAY(J199)))</f>
        <v/>
      </c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13"/>
      <c r="K200" s="5"/>
      <c r="L200" s="5"/>
      <c r="M200" s="5"/>
      <c r="N200" s="13" t="str">
        <f aca="false">IF(J200="","",DATE(YEAR(J200)+1,MONTH(J200),DAY(J200)))</f>
        <v/>
      </c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13"/>
      <c r="K201" s="5"/>
      <c r="L201" s="5"/>
      <c r="M201" s="5"/>
      <c r="N201" s="13" t="str">
        <f aca="false">IF(J201="","",DATE(YEAR(J201)+1,MONTH(J201),DAY(J201)))</f>
        <v/>
      </c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13"/>
      <c r="K202" s="5"/>
      <c r="L202" s="5"/>
      <c r="M202" s="5"/>
      <c r="N202" s="13" t="str">
        <f aca="false">IF(J202="","",DATE(YEAR(J202)+1,MONTH(J202),DAY(J202)))</f>
        <v/>
      </c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13"/>
      <c r="K203" s="5"/>
      <c r="L203" s="5"/>
      <c r="M203" s="5"/>
      <c r="N203" s="13" t="str">
        <f aca="false">IF(J203="","",DATE(YEAR(J203)+1,MONTH(J203),DAY(J203)))</f>
        <v/>
      </c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13"/>
      <c r="K204" s="5"/>
      <c r="L204" s="5"/>
      <c r="M204" s="5"/>
      <c r="N204" s="13" t="str">
        <f aca="false">IF(J204="","",DATE(YEAR(J204)+1,MONTH(J204),DAY(J204)))</f>
        <v/>
      </c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13"/>
      <c r="K205" s="5"/>
      <c r="L205" s="5"/>
      <c r="M205" s="5"/>
      <c r="N205" s="13" t="str">
        <f aca="false">IF(J205="","",DATE(YEAR(J205)+1,MONTH(J205),DAY(J205)))</f>
        <v/>
      </c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13"/>
      <c r="K206" s="5"/>
      <c r="L206" s="5"/>
      <c r="M206" s="5"/>
      <c r="N206" s="13" t="str">
        <f aca="false">IF(J206="","",DATE(YEAR(J206)+1,MONTH(J206),DAY(J206)))</f>
        <v/>
      </c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13"/>
      <c r="K207" s="5"/>
      <c r="L207" s="5"/>
      <c r="M207" s="5"/>
      <c r="N207" s="13" t="str">
        <f aca="false">IF(J207="","",DATE(YEAR(J207)+1,MONTH(J207),DAY(J207)))</f>
        <v/>
      </c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13"/>
      <c r="K208" s="5"/>
      <c r="L208" s="5"/>
      <c r="M208" s="5"/>
      <c r="N208" s="13" t="str">
        <f aca="false">IF(J208="","",DATE(YEAR(J208)+1,MONTH(J208),DAY(J208)))</f>
        <v/>
      </c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13"/>
      <c r="K209" s="5"/>
      <c r="L209" s="5"/>
      <c r="M209" s="5"/>
      <c r="N209" s="13" t="str">
        <f aca="false">IF(J209="","",DATE(YEAR(J209)+1,MONTH(J209),DAY(J209)))</f>
        <v/>
      </c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13"/>
      <c r="K210" s="5"/>
      <c r="L210" s="5"/>
      <c r="M210" s="5"/>
      <c r="N210" s="13" t="str">
        <f aca="false">IF(J210="","",DATE(YEAR(J210)+1,MONTH(J210),DAY(J210)))</f>
        <v/>
      </c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13"/>
      <c r="K211" s="5"/>
      <c r="L211" s="5"/>
      <c r="M211" s="5"/>
      <c r="N211" s="13" t="str">
        <f aca="false">IF(J211="","",DATE(YEAR(J211)+1,MONTH(J211),DAY(J211)))</f>
        <v/>
      </c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13"/>
      <c r="K212" s="5"/>
      <c r="L212" s="5"/>
      <c r="M212" s="5"/>
      <c r="N212" s="13" t="str">
        <f aca="false">IF(J212="","",DATE(YEAR(J212)+1,MONTH(J212),DAY(J212)))</f>
        <v/>
      </c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13"/>
      <c r="K213" s="5"/>
      <c r="L213" s="5"/>
      <c r="M213" s="5"/>
      <c r="N213" s="13" t="str">
        <f aca="false">IF(J213="","",DATE(YEAR(J213)+1,MONTH(J213),DAY(J213)))</f>
        <v/>
      </c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13"/>
      <c r="K214" s="5"/>
      <c r="L214" s="5"/>
      <c r="M214" s="5"/>
      <c r="N214" s="13" t="str">
        <f aca="false">IF(J214="","",DATE(YEAR(J214)+1,MONTH(J214),DAY(J214)))</f>
        <v/>
      </c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13"/>
      <c r="K215" s="5"/>
      <c r="L215" s="5"/>
      <c r="M215" s="5"/>
      <c r="N215" s="13" t="str">
        <f aca="false">IF(J215="","",DATE(YEAR(J215)+1,MONTH(J215),DAY(J215)))</f>
        <v/>
      </c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13"/>
      <c r="K216" s="5"/>
      <c r="L216" s="5"/>
      <c r="M216" s="5"/>
      <c r="N216" s="13" t="str">
        <f aca="false">IF(J216="","",DATE(YEAR(J216)+1,MONTH(J216),DAY(J216)))</f>
        <v/>
      </c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13"/>
      <c r="K217" s="5"/>
      <c r="L217" s="5"/>
      <c r="M217" s="5"/>
      <c r="N217" s="13" t="str">
        <f aca="false">IF(J217="","",DATE(YEAR(J217)+1,MONTH(J217),DAY(J217)))</f>
        <v/>
      </c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13"/>
      <c r="K218" s="5"/>
      <c r="L218" s="5"/>
      <c r="M218" s="5"/>
      <c r="N218" s="13" t="str">
        <f aca="false">IF(J218="","",DATE(YEAR(J218)+1,MONTH(J218),DAY(J218)))</f>
        <v/>
      </c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13"/>
      <c r="K219" s="5"/>
      <c r="L219" s="5"/>
      <c r="M219" s="5"/>
      <c r="N219" s="13" t="str">
        <f aca="false">IF(J219="","",DATE(YEAR(J219)+1,MONTH(J219),DAY(J219)))</f>
        <v/>
      </c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13"/>
      <c r="K220" s="5"/>
      <c r="L220" s="5"/>
      <c r="M220" s="5"/>
      <c r="N220" s="13" t="str">
        <f aca="false">IF(J220="","",DATE(YEAR(J220)+1,MONTH(J220),DAY(J220)))</f>
        <v/>
      </c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13"/>
      <c r="K221" s="5"/>
      <c r="L221" s="5"/>
      <c r="M221" s="5"/>
      <c r="N221" s="13" t="str">
        <f aca="false">IF(J221="","",DATE(YEAR(J221)+1,MONTH(J221),DAY(J221)))</f>
        <v/>
      </c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13"/>
      <c r="K222" s="5"/>
      <c r="L222" s="5"/>
      <c r="M222" s="5"/>
      <c r="N222" s="13" t="str">
        <f aca="false">IF(J222="","",DATE(YEAR(J222)+1,MONTH(J222),DAY(J222)))</f>
        <v/>
      </c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13"/>
      <c r="K223" s="5"/>
      <c r="L223" s="5"/>
      <c r="M223" s="5"/>
      <c r="N223" s="13" t="str">
        <f aca="false">IF(J223="","",DATE(YEAR(J223)+1,MONTH(J223),DAY(J223)))</f>
        <v/>
      </c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13"/>
      <c r="K224" s="5"/>
      <c r="L224" s="5"/>
      <c r="M224" s="5"/>
      <c r="N224" s="13" t="str">
        <f aca="false">IF(J224="","",DATE(YEAR(J224)+1,MONTH(J224),DAY(J224)))</f>
        <v/>
      </c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13"/>
      <c r="K225" s="5"/>
      <c r="L225" s="5"/>
      <c r="M225" s="5"/>
      <c r="N225" s="13" t="str">
        <f aca="false">IF(J225="","",DATE(YEAR(J225)+1,MONTH(J225),DAY(J225)))</f>
        <v/>
      </c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13"/>
      <c r="K226" s="5"/>
      <c r="L226" s="5"/>
      <c r="M226" s="5"/>
      <c r="N226" s="13" t="str">
        <f aca="false">IF(J226="","",DATE(YEAR(J226)+1,MONTH(J226),DAY(J226)))</f>
        <v/>
      </c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13"/>
      <c r="K227" s="5"/>
      <c r="L227" s="5"/>
      <c r="M227" s="5"/>
      <c r="N227" s="13" t="str">
        <f aca="false">IF(J227="","",DATE(YEAR(J227)+1,MONTH(J227),DAY(J227)))</f>
        <v/>
      </c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13"/>
      <c r="K228" s="5"/>
      <c r="L228" s="5"/>
      <c r="M228" s="5"/>
      <c r="N228" s="13" t="str">
        <f aca="false">IF(J228="","",DATE(YEAR(J228)+1,MONTH(J228),DAY(J228)))</f>
        <v/>
      </c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13"/>
      <c r="K229" s="5"/>
      <c r="L229" s="5"/>
      <c r="M229" s="5"/>
      <c r="N229" s="13" t="str">
        <f aca="false">IF(J229="","",DATE(YEAR(J229)+1,MONTH(J229),DAY(J229)))</f>
        <v/>
      </c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13"/>
      <c r="K230" s="5"/>
      <c r="L230" s="5"/>
      <c r="M230" s="5"/>
      <c r="N230" s="13" t="str">
        <f aca="false">IF(J230="","",DATE(YEAR(J230)+1,MONTH(J230),DAY(J230)))</f>
        <v/>
      </c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13"/>
      <c r="K231" s="5"/>
      <c r="L231" s="5"/>
      <c r="M231" s="5"/>
      <c r="N231" s="13" t="str">
        <f aca="false">IF(J231="","",DATE(YEAR(J231)+1,MONTH(J231),DAY(J231)))</f>
        <v/>
      </c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13"/>
      <c r="K232" s="5"/>
      <c r="L232" s="5"/>
      <c r="M232" s="5"/>
      <c r="N232" s="13" t="str">
        <f aca="false">IF(J232="","",DATE(YEAR(J232)+1,MONTH(J232),DAY(J232)))</f>
        <v/>
      </c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13"/>
      <c r="K233" s="5"/>
      <c r="L233" s="5"/>
      <c r="M233" s="5"/>
      <c r="N233" s="13" t="str">
        <f aca="false">IF(J233="","",DATE(YEAR(J233)+1,MONTH(J233),DAY(J233)))</f>
        <v/>
      </c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13"/>
      <c r="K234" s="5"/>
      <c r="L234" s="5"/>
      <c r="M234" s="5"/>
      <c r="N234" s="13" t="str">
        <f aca="false">IF(J234="","",DATE(YEAR(J234)+1,MONTH(J234),DAY(J234)))</f>
        <v/>
      </c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13"/>
      <c r="K235" s="5"/>
      <c r="L235" s="5"/>
      <c r="M235" s="5"/>
      <c r="N235" s="13" t="str">
        <f aca="false">IF(J235="","",DATE(YEAR(J235)+1,MONTH(J235),DAY(J235)))</f>
        <v/>
      </c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13"/>
      <c r="K236" s="5"/>
      <c r="L236" s="5"/>
      <c r="M236" s="5"/>
      <c r="N236" s="13" t="str">
        <f aca="false">IF(J236="","",DATE(YEAR(J236)+1,MONTH(J236),DAY(J236)))</f>
        <v/>
      </c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13"/>
      <c r="K237" s="5"/>
      <c r="L237" s="5"/>
      <c r="M237" s="5"/>
      <c r="N237" s="13" t="str">
        <f aca="false">IF(J237="","",DATE(YEAR(J237)+1,MONTH(J237),DAY(J237)))</f>
        <v/>
      </c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13"/>
      <c r="K238" s="5"/>
      <c r="L238" s="5"/>
      <c r="M238" s="5"/>
      <c r="N238" s="13" t="str">
        <f aca="false">IF(J238="","",DATE(YEAR(J238)+1,MONTH(J238),DAY(J238)))</f>
        <v/>
      </c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13"/>
      <c r="K239" s="5"/>
      <c r="L239" s="5"/>
      <c r="M239" s="5"/>
      <c r="N239" s="13" t="str">
        <f aca="false">IF(J239="","",DATE(YEAR(J239)+1,MONTH(J239),DAY(J239)))</f>
        <v/>
      </c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13"/>
      <c r="K240" s="5"/>
      <c r="L240" s="5"/>
      <c r="M240" s="5"/>
      <c r="N240" s="13" t="str">
        <f aca="false">IF(J240="","",DATE(YEAR(J240)+1,MONTH(J240),DAY(J240)))</f>
        <v/>
      </c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13"/>
      <c r="K241" s="5"/>
      <c r="L241" s="5"/>
      <c r="M241" s="5"/>
      <c r="N241" s="13" t="str">
        <f aca="false">IF(J241="","",DATE(YEAR(J241)+1,MONTH(J241),DAY(J241)))</f>
        <v/>
      </c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13"/>
      <c r="K242" s="5"/>
      <c r="L242" s="5"/>
      <c r="M242" s="5"/>
      <c r="N242" s="13" t="str">
        <f aca="false">IF(J242="","",DATE(YEAR(J242)+1,MONTH(J242),DAY(J242)))</f>
        <v/>
      </c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13"/>
      <c r="K243" s="5"/>
      <c r="L243" s="5"/>
      <c r="M243" s="5"/>
      <c r="N243" s="13" t="str">
        <f aca="false">IF(J243="","",DATE(YEAR(J243)+1,MONTH(J243),DAY(J243)))</f>
        <v/>
      </c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13"/>
      <c r="K244" s="5"/>
      <c r="L244" s="5"/>
      <c r="M244" s="5"/>
      <c r="N244" s="13" t="str">
        <f aca="false">IF(J244="","",DATE(YEAR(J244)+1,MONTH(J244),DAY(J244)))</f>
        <v/>
      </c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13"/>
      <c r="K245" s="5"/>
      <c r="L245" s="5"/>
      <c r="M245" s="5"/>
      <c r="N245" s="13" t="str">
        <f aca="false">IF(J245="","",DATE(YEAR(J245)+1,MONTH(J245),DAY(J245)))</f>
        <v/>
      </c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13"/>
      <c r="K246" s="5"/>
      <c r="L246" s="5"/>
      <c r="M246" s="5"/>
      <c r="N246" s="13" t="str">
        <f aca="false">IF(J246="","",DATE(YEAR(J246)+1,MONTH(J246),DAY(J246)))</f>
        <v/>
      </c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13"/>
      <c r="K247" s="5"/>
      <c r="L247" s="5"/>
      <c r="M247" s="5"/>
      <c r="N247" s="13" t="str">
        <f aca="false">IF(J247="","",DATE(YEAR(J247)+1,MONTH(J247),DAY(J247)))</f>
        <v/>
      </c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13"/>
      <c r="K248" s="5"/>
      <c r="L248" s="5"/>
      <c r="M248" s="5"/>
      <c r="N248" s="13" t="str">
        <f aca="false">IF(J248="","",DATE(YEAR(J248)+1,MONTH(J248),DAY(J248)))</f>
        <v/>
      </c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13"/>
      <c r="K249" s="5"/>
      <c r="L249" s="5"/>
      <c r="M249" s="5"/>
      <c r="N249" s="13" t="str">
        <f aca="false">IF(J249="","",DATE(YEAR(J249)+1,MONTH(J249),DAY(J249)))</f>
        <v/>
      </c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13"/>
      <c r="K250" s="5"/>
      <c r="L250" s="5"/>
      <c r="M250" s="5"/>
      <c r="N250" s="13" t="str">
        <f aca="false">IF(J250="","",DATE(YEAR(J250)+1,MONTH(J250),DAY(J250)))</f>
        <v/>
      </c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13"/>
      <c r="K251" s="5"/>
      <c r="L251" s="5"/>
      <c r="M251" s="5"/>
      <c r="N251" s="13" t="str">
        <f aca="false">IF(J251="","",DATE(YEAR(J251)+1,MONTH(J251),DAY(J251)))</f>
        <v/>
      </c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13"/>
      <c r="K252" s="5"/>
      <c r="L252" s="5"/>
      <c r="M252" s="5"/>
      <c r="N252" s="13" t="str">
        <f aca="false">IF(J252="","",DATE(YEAR(J252)+1,MONTH(J252),DAY(J252)))</f>
        <v/>
      </c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13"/>
      <c r="K253" s="5"/>
      <c r="L253" s="5"/>
      <c r="M253" s="5"/>
      <c r="N253" s="13" t="str">
        <f aca="false">IF(J253="","",DATE(YEAR(J253)+1,MONTH(J253),DAY(J253)))</f>
        <v/>
      </c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13"/>
      <c r="K254" s="5"/>
      <c r="L254" s="5"/>
      <c r="M254" s="5"/>
      <c r="N254" s="13" t="str">
        <f aca="false">IF(J254="","",DATE(YEAR(J254)+1,MONTH(J254),DAY(J254)))</f>
        <v/>
      </c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13"/>
      <c r="K255" s="5"/>
      <c r="L255" s="5"/>
      <c r="M255" s="5"/>
      <c r="N255" s="13" t="str">
        <f aca="false">IF(J255="","",DATE(YEAR(J255)+1,MONTH(J255),DAY(J255)))</f>
        <v/>
      </c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13"/>
      <c r="K256" s="5"/>
      <c r="L256" s="5"/>
      <c r="M256" s="5"/>
      <c r="N256" s="13" t="str">
        <f aca="false">IF(J256="","",DATE(YEAR(J256)+1,MONTH(J256),DAY(J256)))</f>
        <v/>
      </c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13"/>
      <c r="K257" s="5"/>
      <c r="L257" s="5"/>
      <c r="M257" s="5"/>
      <c r="N257" s="13" t="str">
        <f aca="false">IF(J257="","",DATE(YEAR(J257)+1,MONTH(J257),DAY(J257)))</f>
        <v/>
      </c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13"/>
      <c r="K258" s="5"/>
      <c r="L258" s="5"/>
      <c r="M258" s="5"/>
      <c r="N258" s="13" t="str">
        <f aca="false">IF(J258="","",DATE(YEAR(J258)+1,MONTH(J258),DAY(J258)))</f>
        <v/>
      </c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13"/>
      <c r="K259" s="5"/>
      <c r="L259" s="5"/>
      <c r="M259" s="5"/>
      <c r="N259" s="13" t="str">
        <f aca="false">IF(J259="","",DATE(YEAR(J259)+1,MONTH(J259),DAY(J259)))</f>
        <v/>
      </c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13"/>
      <c r="K260" s="5"/>
      <c r="L260" s="5"/>
      <c r="M260" s="5"/>
      <c r="N260" s="13" t="str">
        <f aca="false">IF(J260="","",DATE(YEAR(J260)+1,MONTH(J260),DAY(J260)))</f>
        <v/>
      </c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13"/>
      <c r="K261" s="5"/>
      <c r="L261" s="5"/>
      <c r="M261" s="5"/>
      <c r="N261" s="13" t="str">
        <f aca="false">IF(J261="","",DATE(YEAR(J261)+1,MONTH(J261),DAY(J261)))</f>
        <v/>
      </c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13"/>
      <c r="K262" s="5"/>
      <c r="L262" s="5"/>
      <c r="M262" s="5"/>
      <c r="N262" s="13" t="str">
        <f aca="false">IF(J262="","",DATE(YEAR(J262)+1,MONTH(J262),DAY(J262)))</f>
        <v/>
      </c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13"/>
      <c r="K263" s="5"/>
      <c r="L263" s="5"/>
      <c r="M263" s="5"/>
      <c r="N263" s="13" t="str">
        <f aca="false">IF(J263="","",DATE(YEAR(J263)+1,MONTH(J263),DAY(J263)))</f>
        <v/>
      </c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13"/>
      <c r="K264" s="5"/>
      <c r="L264" s="5"/>
      <c r="M264" s="5"/>
      <c r="N264" s="13" t="str">
        <f aca="false">IF(J264="","",DATE(YEAR(J264)+1,MONTH(J264),DAY(J264)))</f>
        <v/>
      </c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13"/>
      <c r="K265" s="5"/>
      <c r="L265" s="5"/>
      <c r="M265" s="5"/>
      <c r="N265" s="13" t="str">
        <f aca="false">IF(J265="","",DATE(YEAR(J265)+1,MONTH(J265),DAY(J265)))</f>
        <v/>
      </c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13"/>
      <c r="K266" s="5"/>
      <c r="L266" s="5"/>
      <c r="M266" s="5"/>
      <c r="N266" s="13" t="str">
        <f aca="false">IF(J266="","",DATE(YEAR(J266)+1,MONTH(J266),DAY(J266)))</f>
        <v/>
      </c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13"/>
      <c r="K267" s="5"/>
      <c r="L267" s="5"/>
      <c r="M267" s="5"/>
      <c r="N267" s="13" t="str">
        <f aca="false">IF(J267="","",DATE(YEAR(J267)+1,MONTH(J267),DAY(J267)))</f>
        <v/>
      </c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13"/>
      <c r="K268" s="5"/>
      <c r="L268" s="5"/>
      <c r="M268" s="5"/>
      <c r="N268" s="13" t="str">
        <f aca="false">IF(J268="","",DATE(YEAR(J268)+1,MONTH(J268),DAY(J268)))</f>
        <v/>
      </c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13"/>
      <c r="K269" s="5"/>
      <c r="L269" s="5"/>
      <c r="M269" s="5"/>
      <c r="N269" s="13" t="str">
        <f aca="false">IF(J269="","",DATE(YEAR(J269)+1,MONTH(J269),DAY(J269)))</f>
        <v/>
      </c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13"/>
      <c r="K270" s="5"/>
      <c r="L270" s="5"/>
      <c r="M270" s="5"/>
      <c r="N270" s="13" t="str">
        <f aca="false">IF(J270="","",DATE(YEAR(J270)+1,MONTH(J270),DAY(J270)))</f>
        <v/>
      </c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13"/>
      <c r="K271" s="5"/>
      <c r="L271" s="5"/>
      <c r="M271" s="5"/>
      <c r="N271" s="13" t="str">
        <f aca="false">IF(J271="","",DATE(YEAR(J271)+1,MONTH(J271),DAY(J271)))</f>
        <v/>
      </c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13"/>
      <c r="K272" s="5"/>
      <c r="L272" s="5"/>
      <c r="M272" s="5"/>
      <c r="N272" s="13" t="str">
        <f aca="false">IF(J272="","",DATE(YEAR(J272)+1,MONTH(J272),DAY(J272)))</f>
        <v/>
      </c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13"/>
      <c r="K273" s="5"/>
      <c r="L273" s="5"/>
      <c r="M273" s="5"/>
      <c r="N273" s="13" t="str">
        <f aca="false">IF(J273="","",DATE(YEAR(J273)+1,MONTH(J273),DAY(J273)))</f>
        <v/>
      </c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13"/>
      <c r="K274" s="5"/>
      <c r="L274" s="5"/>
      <c r="M274" s="5"/>
      <c r="N274" s="13" t="str">
        <f aca="false">IF(J274="","",DATE(YEAR(J274)+1,MONTH(J274),DAY(J274)))</f>
        <v/>
      </c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13"/>
      <c r="K275" s="5"/>
      <c r="L275" s="5"/>
      <c r="M275" s="5"/>
      <c r="N275" s="13" t="str">
        <f aca="false">IF(J275="","",DATE(YEAR(J275)+1,MONTH(J275),DAY(J275)))</f>
        <v/>
      </c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13"/>
      <c r="K276" s="5"/>
      <c r="L276" s="5"/>
      <c r="M276" s="5"/>
      <c r="N276" s="13" t="str">
        <f aca="false">IF(J276="","",DATE(YEAR(J276)+1,MONTH(J276),DAY(J276)))</f>
        <v/>
      </c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13"/>
      <c r="K277" s="5"/>
      <c r="L277" s="5"/>
      <c r="M277" s="5"/>
      <c r="N277" s="13" t="str">
        <f aca="false">IF(J277="","",DATE(YEAR(J277)+1,MONTH(J277),DAY(J277)))</f>
        <v/>
      </c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13"/>
      <c r="K278" s="5"/>
      <c r="L278" s="5"/>
      <c r="M278" s="5"/>
      <c r="N278" s="13" t="str">
        <f aca="false">IF(J278="","",DATE(YEAR(J278)+1,MONTH(J278),DAY(J278)))</f>
        <v/>
      </c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13"/>
      <c r="K279" s="5"/>
      <c r="L279" s="5"/>
      <c r="M279" s="5"/>
      <c r="N279" s="13" t="str">
        <f aca="false">IF(J279="","",DATE(YEAR(J279)+1,MONTH(J279),DAY(J279)))</f>
        <v/>
      </c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13"/>
      <c r="K280" s="5"/>
      <c r="L280" s="5"/>
      <c r="M280" s="5"/>
      <c r="N280" s="13" t="str">
        <f aca="false">IF(J280="","",DATE(YEAR(J280)+1,MONTH(J280),DAY(J280)))</f>
        <v/>
      </c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13"/>
      <c r="K281" s="5"/>
      <c r="L281" s="5"/>
      <c r="M281" s="5"/>
      <c r="N281" s="13" t="str">
        <f aca="false">IF(J281="","",DATE(YEAR(J281)+1,MONTH(J281),DAY(J281)))</f>
        <v/>
      </c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13"/>
      <c r="K282" s="5"/>
      <c r="L282" s="5"/>
      <c r="M282" s="5"/>
      <c r="N282" s="13" t="str">
        <f aca="false">IF(J282="","",DATE(YEAR(J282)+1,MONTH(J282),DAY(J282)))</f>
        <v/>
      </c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13"/>
      <c r="K283" s="5"/>
      <c r="L283" s="5"/>
      <c r="M283" s="5"/>
      <c r="N283" s="13" t="str">
        <f aca="false">IF(J283="","",DATE(YEAR(J283)+1,MONTH(J283),DAY(J283)))</f>
        <v/>
      </c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13"/>
      <c r="K284" s="5"/>
      <c r="L284" s="5"/>
      <c r="M284" s="5"/>
      <c r="N284" s="13" t="str">
        <f aca="false">IF(J284="","",DATE(YEAR(J284)+1,MONTH(J284),DAY(J284)))</f>
        <v/>
      </c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13"/>
      <c r="K285" s="5"/>
      <c r="L285" s="5"/>
      <c r="M285" s="5"/>
      <c r="N285" s="13" t="str">
        <f aca="false">IF(J285="","",DATE(YEAR(J285)+1,MONTH(J285),DAY(J285)))</f>
        <v/>
      </c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13"/>
      <c r="K286" s="5"/>
      <c r="L286" s="5"/>
      <c r="M286" s="5"/>
      <c r="N286" s="13" t="str">
        <f aca="false">IF(J286="","",DATE(YEAR(J286)+1,MONTH(J286),DAY(J286)))</f>
        <v/>
      </c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13"/>
      <c r="K287" s="5"/>
      <c r="L287" s="5"/>
      <c r="M287" s="5"/>
      <c r="N287" s="13" t="str">
        <f aca="false">IF(J287="","",DATE(YEAR(J287)+1,MONTH(J287),DAY(J287)))</f>
        <v/>
      </c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13"/>
      <c r="K288" s="5"/>
      <c r="L288" s="5"/>
      <c r="M288" s="5"/>
      <c r="N288" s="13" t="str">
        <f aca="false">IF(J288="","",DATE(YEAR(J288)+1,MONTH(J288),DAY(J288)))</f>
        <v/>
      </c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13"/>
      <c r="K289" s="5"/>
      <c r="L289" s="5"/>
      <c r="M289" s="5"/>
      <c r="N289" s="13" t="str">
        <f aca="false">IF(J289="","",DATE(YEAR(J289)+1,MONTH(J289),DAY(J289)))</f>
        <v/>
      </c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13"/>
      <c r="K290" s="5"/>
      <c r="L290" s="5"/>
      <c r="M290" s="5"/>
      <c r="N290" s="13" t="str">
        <f aca="false">IF(J290="","",DATE(YEAR(J290)+1,MONTH(J290),DAY(J290)))</f>
        <v/>
      </c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13"/>
      <c r="K291" s="5"/>
      <c r="L291" s="5"/>
      <c r="M291" s="5"/>
      <c r="N291" s="13" t="str">
        <f aca="false">IF(J291="","",DATE(YEAR(J291)+1,MONTH(J291),DAY(J291)))</f>
        <v/>
      </c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13"/>
      <c r="K292" s="5"/>
      <c r="L292" s="5"/>
      <c r="M292" s="5"/>
      <c r="N292" s="13" t="str">
        <f aca="false">IF(J292="","",DATE(YEAR(J292)+1,MONTH(J292),DAY(J292)))</f>
        <v/>
      </c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13"/>
      <c r="K293" s="5"/>
      <c r="L293" s="5"/>
      <c r="M293" s="5"/>
      <c r="N293" s="13" t="str">
        <f aca="false">IF(J293="","",DATE(YEAR(J293)+1,MONTH(J293),DAY(J293)))</f>
        <v/>
      </c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13"/>
      <c r="K294" s="5"/>
      <c r="L294" s="5"/>
      <c r="M294" s="5"/>
      <c r="N294" s="13" t="str">
        <f aca="false">IF(J294="","",DATE(YEAR(J294)+1,MONTH(J294),DAY(J294)))</f>
        <v/>
      </c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13"/>
      <c r="K295" s="5"/>
      <c r="L295" s="5"/>
      <c r="M295" s="5"/>
      <c r="N295" s="13" t="str">
        <f aca="false">IF(J295="","",DATE(YEAR(J295)+1,MONTH(J295),DAY(J295)))</f>
        <v/>
      </c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13"/>
      <c r="K296" s="5"/>
      <c r="L296" s="5"/>
      <c r="M296" s="5"/>
      <c r="N296" s="13" t="str">
        <f aca="false">IF(J296="","",DATE(YEAR(J296)+1,MONTH(J296),DAY(J296)))</f>
        <v/>
      </c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13"/>
      <c r="K297" s="5"/>
      <c r="L297" s="5"/>
      <c r="M297" s="5"/>
      <c r="N297" s="13" t="str">
        <f aca="false">IF(J297="","",DATE(YEAR(J297)+1,MONTH(J297),DAY(J297)))</f>
        <v/>
      </c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13"/>
      <c r="K298" s="5"/>
      <c r="L298" s="5"/>
      <c r="M298" s="5"/>
      <c r="N298" s="13" t="str">
        <f aca="false">IF(J298="","",DATE(YEAR(J298)+1,MONTH(J298),DAY(J298)))</f>
        <v/>
      </c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13"/>
      <c r="K299" s="5"/>
      <c r="L299" s="5"/>
      <c r="M299" s="5"/>
      <c r="N299" s="13" t="str">
        <f aca="false">IF(J299="","",DATE(YEAR(J299)+1,MONTH(J299),DAY(J299)))</f>
        <v/>
      </c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13"/>
      <c r="K300" s="5"/>
      <c r="L300" s="5"/>
      <c r="M300" s="5"/>
      <c r="N300" s="13" t="str">
        <f aca="false">IF(J300="","",DATE(YEAR(J300)+1,MONTH(J300),DAY(J300)))</f>
        <v/>
      </c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13"/>
      <c r="K301" s="5"/>
      <c r="L301" s="5"/>
      <c r="M301" s="5"/>
      <c r="N301" s="13" t="str">
        <f aca="false">IF(J301="","",DATE(YEAR(J301)+1,MONTH(J301),DAY(J301)))</f>
        <v/>
      </c>
    </row>
  </sheetData>
  <autoFilter ref="A1:N301"/>
  <dataValidations count="4">
    <dataValidation allowBlank="true" errorStyle="stop" operator="between" showDropDown="false" showErrorMessage="false" showInputMessage="false" sqref="F2:F301" type="list">
      <formula1>Lists!$F$2:$F$5</formula1>
      <formula2>0</formula2>
    </dataValidation>
    <dataValidation allowBlank="true" errorStyle="stop" operator="between" showDropDown="false" showErrorMessage="false" showInputMessage="false" sqref="I2:I301" type="list">
      <formula1>Lists!$G$2:$G$3</formula1>
      <formula2>0</formula2>
    </dataValidation>
    <dataValidation allowBlank="true" errorStyle="stop" operator="between" showDropDown="false" showErrorMessage="false" showInputMessage="false" sqref="K2:K301" type="list">
      <formula1>Lists!$E$2:$E$4</formula1>
      <formula2>0</formula2>
    </dataValidation>
    <dataValidation allowBlank="true" errorStyle="stop" operator="between" showDropDown="false" showErrorMessage="false" showInputMessage="false" sqref="L2:L301" type="list">
      <formula1>Lists!$H$2:$H$9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6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10" t="s">
        <v>51</v>
      </c>
      <c r="B1" s="10" t="s">
        <v>52</v>
      </c>
      <c r="C1" s="10" t="s">
        <v>25</v>
      </c>
      <c r="D1" s="10" t="s">
        <v>53</v>
      </c>
      <c r="E1" s="10" t="s">
        <v>54</v>
      </c>
      <c r="F1" s="10" t="s">
        <v>55</v>
      </c>
      <c r="G1" s="10" t="s">
        <v>56</v>
      </c>
      <c r="H1" s="10" t="s">
        <v>57</v>
      </c>
      <c r="I1" s="10" t="s">
        <v>58</v>
      </c>
      <c r="J1" s="10" t="s">
        <v>59</v>
      </c>
      <c r="K1" s="10" t="s">
        <v>60</v>
      </c>
      <c r="L1" s="10" t="s">
        <v>61</v>
      </c>
      <c r="M1" s="10" t="s">
        <v>62</v>
      </c>
    </row>
    <row r="2" customFormat="false" ht="15" hidden="false" customHeight="false" outlineLevel="0" collapsed="false">
      <c r="A2" s="11" t="s">
        <v>63</v>
      </c>
      <c r="B2" s="12" t="n">
        <v>46300</v>
      </c>
      <c r="C2" s="11" t="s">
        <v>39</v>
      </c>
      <c r="D2" s="11" t="str">
        <f aca="false">IF(C2="","",IFERROR(INDEX(Clients!$B:$B,MATCH(C2,Clients!$A:$A,0)),"Check client ID"))</f>
        <v>Example: Ravi Kumar</v>
      </c>
      <c r="E2" s="11" t="s">
        <v>64</v>
      </c>
      <c r="F2" s="11" t="s">
        <v>65</v>
      </c>
      <c r="G2" s="11" t="s">
        <v>9</v>
      </c>
      <c r="H2" s="14" t="n">
        <v>1500</v>
      </c>
      <c r="I2" s="14" t="n">
        <v>450</v>
      </c>
      <c r="J2" s="12" t="n">
        <v>46302</v>
      </c>
      <c r="K2" s="12" t="n">
        <v>46302</v>
      </c>
      <c r="L2" s="11" t="s">
        <v>47</v>
      </c>
      <c r="M2" s="11" t="s">
        <v>66</v>
      </c>
    </row>
    <row r="3" customFormat="false" ht="15" hidden="false" customHeight="false" outlineLevel="0" collapsed="false">
      <c r="A3" s="5"/>
      <c r="B3" s="13"/>
      <c r="C3" s="5"/>
      <c r="D3" s="5" t="str">
        <f aca="false">IF(C3="","",IFERROR(INDEX(Clients!$B:$B,MATCH(C3,Clients!$A:$A,0)),"Check client ID"))</f>
        <v/>
      </c>
      <c r="E3" s="5"/>
      <c r="F3" s="5"/>
      <c r="G3" s="5"/>
      <c r="H3" s="15"/>
      <c r="I3" s="15"/>
      <c r="J3" s="13"/>
      <c r="K3" s="13"/>
      <c r="L3" s="5"/>
      <c r="M3" s="5"/>
    </row>
    <row r="4" customFormat="false" ht="15" hidden="false" customHeight="false" outlineLevel="0" collapsed="false">
      <c r="A4" s="5"/>
      <c r="B4" s="13"/>
      <c r="C4" s="5"/>
      <c r="D4" s="5" t="str">
        <f aca="false">IF(C4="","",IFERROR(INDEX(Clients!$B:$B,MATCH(C4,Clients!$A:$A,0)),"Check client ID"))</f>
        <v/>
      </c>
      <c r="E4" s="5"/>
      <c r="F4" s="5"/>
      <c r="G4" s="5"/>
      <c r="H4" s="15"/>
      <c r="I4" s="15"/>
      <c r="J4" s="13"/>
      <c r="K4" s="13"/>
      <c r="L4" s="5"/>
      <c r="M4" s="5"/>
    </row>
    <row r="5" customFormat="false" ht="15" hidden="false" customHeight="false" outlineLevel="0" collapsed="false">
      <c r="A5" s="5"/>
      <c r="B5" s="13"/>
      <c r="C5" s="5"/>
      <c r="D5" s="5" t="str">
        <f aca="false">IF(C5="","",IFERROR(INDEX(Clients!$B:$B,MATCH(C5,Clients!$A:$A,0)),"Check client ID"))</f>
        <v/>
      </c>
      <c r="E5" s="5"/>
      <c r="F5" s="5"/>
      <c r="G5" s="5"/>
      <c r="H5" s="15"/>
      <c r="I5" s="15"/>
      <c r="J5" s="13"/>
      <c r="K5" s="13"/>
      <c r="L5" s="5"/>
      <c r="M5" s="5"/>
    </row>
    <row r="6" customFormat="false" ht="15" hidden="false" customHeight="false" outlineLevel="0" collapsed="false">
      <c r="A6" s="5"/>
      <c r="B6" s="13"/>
      <c r="C6" s="5"/>
      <c r="D6" s="5" t="str">
        <f aca="false">IF(C6="","",IFERROR(INDEX(Clients!$B:$B,MATCH(C6,Clients!$A:$A,0)),"Check client ID"))</f>
        <v/>
      </c>
      <c r="E6" s="5"/>
      <c r="F6" s="5"/>
      <c r="G6" s="5"/>
      <c r="H6" s="15"/>
      <c r="I6" s="15"/>
      <c r="J6" s="13"/>
      <c r="K6" s="13"/>
      <c r="L6" s="5"/>
      <c r="M6" s="5"/>
    </row>
    <row r="7" customFormat="false" ht="15" hidden="false" customHeight="false" outlineLevel="0" collapsed="false">
      <c r="A7" s="5"/>
      <c r="B7" s="13"/>
      <c r="C7" s="5"/>
      <c r="D7" s="5" t="str">
        <f aca="false">IF(C7="","",IFERROR(INDEX(Clients!$B:$B,MATCH(C7,Clients!$A:$A,0)),"Check client ID"))</f>
        <v/>
      </c>
      <c r="E7" s="5"/>
      <c r="F7" s="5"/>
      <c r="G7" s="5"/>
      <c r="H7" s="15"/>
      <c r="I7" s="15"/>
      <c r="J7" s="13"/>
      <c r="K7" s="13"/>
      <c r="L7" s="5"/>
      <c r="M7" s="5"/>
    </row>
    <row r="8" customFormat="false" ht="15" hidden="false" customHeight="false" outlineLevel="0" collapsed="false">
      <c r="A8" s="5"/>
      <c r="B8" s="13"/>
      <c r="C8" s="5"/>
      <c r="D8" s="5" t="str">
        <f aca="false">IF(C8="","",IFERROR(INDEX(Clients!$B:$B,MATCH(C8,Clients!$A:$A,0)),"Check client ID"))</f>
        <v/>
      </c>
      <c r="E8" s="5"/>
      <c r="F8" s="5"/>
      <c r="G8" s="5"/>
      <c r="H8" s="15"/>
      <c r="I8" s="15"/>
      <c r="J8" s="13"/>
      <c r="K8" s="13"/>
      <c r="L8" s="5"/>
      <c r="M8" s="5"/>
    </row>
    <row r="9" customFormat="false" ht="15" hidden="false" customHeight="false" outlineLevel="0" collapsed="false">
      <c r="A9" s="5"/>
      <c r="B9" s="13"/>
      <c r="C9" s="5"/>
      <c r="D9" s="5" t="str">
        <f aca="false">IF(C9="","",IFERROR(INDEX(Clients!$B:$B,MATCH(C9,Clients!$A:$A,0)),"Check client ID"))</f>
        <v/>
      </c>
      <c r="E9" s="5"/>
      <c r="F9" s="5"/>
      <c r="G9" s="5"/>
      <c r="H9" s="15"/>
      <c r="I9" s="15"/>
      <c r="J9" s="13"/>
      <c r="K9" s="13"/>
      <c r="L9" s="5"/>
      <c r="M9" s="5"/>
    </row>
    <row r="10" customFormat="false" ht="15" hidden="false" customHeight="false" outlineLevel="0" collapsed="false">
      <c r="A10" s="5"/>
      <c r="B10" s="13"/>
      <c r="C10" s="5"/>
      <c r="D10" s="5" t="str">
        <f aca="false">IF(C10="","",IFERROR(INDEX(Clients!$B:$B,MATCH(C10,Clients!$A:$A,0)),"Check client ID"))</f>
        <v/>
      </c>
      <c r="E10" s="5"/>
      <c r="F10" s="5"/>
      <c r="G10" s="5"/>
      <c r="H10" s="15"/>
      <c r="I10" s="15"/>
      <c r="J10" s="13"/>
      <c r="K10" s="13"/>
      <c r="L10" s="5"/>
      <c r="M10" s="5"/>
    </row>
    <row r="11" customFormat="false" ht="15" hidden="false" customHeight="false" outlineLevel="0" collapsed="false">
      <c r="A11" s="5"/>
      <c r="B11" s="13"/>
      <c r="C11" s="5"/>
      <c r="D11" s="5" t="str">
        <f aca="false">IF(C11="","",IFERROR(INDEX(Clients!$B:$B,MATCH(C11,Clients!$A:$A,0)),"Check client ID"))</f>
        <v/>
      </c>
      <c r="E11" s="5"/>
      <c r="F11" s="5"/>
      <c r="G11" s="5"/>
      <c r="H11" s="15"/>
      <c r="I11" s="15"/>
      <c r="J11" s="13"/>
      <c r="K11" s="13"/>
      <c r="L11" s="5"/>
      <c r="M11" s="5"/>
    </row>
    <row r="12" customFormat="false" ht="15" hidden="false" customHeight="false" outlineLevel="0" collapsed="false">
      <c r="A12" s="5"/>
      <c r="B12" s="13"/>
      <c r="C12" s="5"/>
      <c r="D12" s="5" t="str">
        <f aca="false">IF(C12="","",IFERROR(INDEX(Clients!$B:$B,MATCH(C12,Clients!$A:$A,0)),"Check client ID"))</f>
        <v/>
      </c>
      <c r="E12" s="5"/>
      <c r="F12" s="5"/>
      <c r="G12" s="5"/>
      <c r="H12" s="15"/>
      <c r="I12" s="15"/>
      <c r="J12" s="13"/>
      <c r="K12" s="13"/>
      <c r="L12" s="5"/>
      <c r="M12" s="5"/>
    </row>
    <row r="13" customFormat="false" ht="15" hidden="false" customHeight="false" outlineLevel="0" collapsed="false">
      <c r="A13" s="5"/>
      <c r="B13" s="13"/>
      <c r="C13" s="5"/>
      <c r="D13" s="5" t="str">
        <f aca="false">IF(C13="","",IFERROR(INDEX(Clients!$B:$B,MATCH(C13,Clients!$A:$A,0)),"Check client ID"))</f>
        <v/>
      </c>
      <c r="E13" s="5"/>
      <c r="F13" s="5"/>
      <c r="G13" s="5"/>
      <c r="H13" s="15"/>
      <c r="I13" s="15"/>
      <c r="J13" s="13"/>
      <c r="K13" s="13"/>
      <c r="L13" s="5"/>
      <c r="M13" s="5"/>
    </row>
    <row r="14" customFormat="false" ht="15" hidden="false" customHeight="false" outlineLevel="0" collapsed="false">
      <c r="A14" s="5"/>
      <c r="B14" s="13"/>
      <c r="C14" s="5"/>
      <c r="D14" s="5" t="str">
        <f aca="false">IF(C14="","",IFERROR(INDEX(Clients!$B:$B,MATCH(C14,Clients!$A:$A,0)),"Check client ID"))</f>
        <v/>
      </c>
      <c r="E14" s="5"/>
      <c r="F14" s="5"/>
      <c r="G14" s="5"/>
      <c r="H14" s="15"/>
      <c r="I14" s="15"/>
      <c r="J14" s="13"/>
      <c r="K14" s="13"/>
      <c r="L14" s="5"/>
      <c r="M14" s="5"/>
    </row>
    <row r="15" customFormat="false" ht="15" hidden="false" customHeight="false" outlineLevel="0" collapsed="false">
      <c r="A15" s="5"/>
      <c r="B15" s="13"/>
      <c r="C15" s="5"/>
      <c r="D15" s="5" t="str">
        <f aca="false">IF(C15="","",IFERROR(INDEX(Clients!$B:$B,MATCH(C15,Clients!$A:$A,0)),"Check client ID"))</f>
        <v/>
      </c>
      <c r="E15" s="5"/>
      <c r="F15" s="5"/>
      <c r="G15" s="5"/>
      <c r="H15" s="15"/>
      <c r="I15" s="15"/>
      <c r="J15" s="13"/>
      <c r="K15" s="13"/>
      <c r="L15" s="5"/>
      <c r="M15" s="5"/>
    </row>
    <row r="16" customFormat="false" ht="15" hidden="false" customHeight="false" outlineLevel="0" collapsed="false">
      <c r="A16" s="5"/>
      <c r="B16" s="13"/>
      <c r="C16" s="5"/>
      <c r="D16" s="5" t="str">
        <f aca="false">IF(C16="","",IFERROR(INDEX(Clients!$B:$B,MATCH(C16,Clients!$A:$A,0)),"Check client ID"))</f>
        <v/>
      </c>
      <c r="E16" s="5"/>
      <c r="F16" s="5"/>
      <c r="G16" s="5"/>
      <c r="H16" s="15"/>
      <c r="I16" s="15"/>
      <c r="J16" s="13"/>
      <c r="K16" s="13"/>
      <c r="L16" s="5"/>
      <c r="M16" s="5"/>
    </row>
    <row r="17" customFormat="false" ht="15" hidden="false" customHeight="false" outlineLevel="0" collapsed="false">
      <c r="A17" s="5"/>
      <c r="B17" s="13"/>
      <c r="C17" s="5"/>
      <c r="D17" s="5" t="str">
        <f aca="false">IF(C17="","",IFERROR(INDEX(Clients!$B:$B,MATCH(C17,Clients!$A:$A,0)),"Check client ID"))</f>
        <v/>
      </c>
      <c r="E17" s="5"/>
      <c r="F17" s="5"/>
      <c r="G17" s="5"/>
      <c r="H17" s="15"/>
      <c r="I17" s="15"/>
      <c r="J17" s="13"/>
      <c r="K17" s="13"/>
      <c r="L17" s="5"/>
      <c r="M17" s="5"/>
    </row>
    <row r="18" customFormat="false" ht="15" hidden="false" customHeight="false" outlineLevel="0" collapsed="false">
      <c r="A18" s="5"/>
      <c r="B18" s="13"/>
      <c r="C18" s="5"/>
      <c r="D18" s="5" t="str">
        <f aca="false">IF(C18="","",IFERROR(INDEX(Clients!$B:$B,MATCH(C18,Clients!$A:$A,0)),"Check client ID"))</f>
        <v/>
      </c>
      <c r="E18" s="5"/>
      <c r="F18" s="5"/>
      <c r="G18" s="5"/>
      <c r="H18" s="15"/>
      <c r="I18" s="15"/>
      <c r="J18" s="13"/>
      <c r="K18" s="13"/>
      <c r="L18" s="5"/>
      <c r="M18" s="5"/>
    </row>
    <row r="19" customFormat="false" ht="15" hidden="false" customHeight="false" outlineLevel="0" collapsed="false">
      <c r="A19" s="5"/>
      <c r="B19" s="13"/>
      <c r="C19" s="5"/>
      <c r="D19" s="5" t="str">
        <f aca="false">IF(C19="","",IFERROR(INDEX(Clients!$B:$B,MATCH(C19,Clients!$A:$A,0)),"Check client ID"))</f>
        <v/>
      </c>
      <c r="E19" s="5"/>
      <c r="F19" s="5"/>
      <c r="G19" s="5"/>
      <c r="H19" s="15"/>
      <c r="I19" s="15"/>
      <c r="J19" s="13"/>
      <c r="K19" s="13"/>
      <c r="L19" s="5"/>
      <c r="M19" s="5"/>
    </row>
    <row r="20" customFormat="false" ht="15" hidden="false" customHeight="false" outlineLevel="0" collapsed="false">
      <c r="A20" s="5"/>
      <c r="B20" s="13"/>
      <c r="C20" s="5"/>
      <c r="D20" s="5" t="str">
        <f aca="false">IF(C20="","",IFERROR(INDEX(Clients!$B:$B,MATCH(C20,Clients!$A:$A,0)),"Check client ID"))</f>
        <v/>
      </c>
      <c r="E20" s="5"/>
      <c r="F20" s="5"/>
      <c r="G20" s="5"/>
      <c r="H20" s="15"/>
      <c r="I20" s="15"/>
      <c r="J20" s="13"/>
      <c r="K20" s="13"/>
      <c r="L20" s="5"/>
      <c r="M20" s="5"/>
    </row>
    <row r="21" customFormat="false" ht="15" hidden="false" customHeight="false" outlineLevel="0" collapsed="false">
      <c r="A21" s="5"/>
      <c r="B21" s="13"/>
      <c r="C21" s="5"/>
      <c r="D21" s="5" t="str">
        <f aca="false">IF(C21="","",IFERROR(INDEX(Clients!$B:$B,MATCH(C21,Clients!$A:$A,0)),"Check client ID"))</f>
        <v/>
      </c>
      <c r="E21" s="5"/>
      <c r="F21" s="5"/>
      <c r="G21" s="5"/>
      <c r="H21" s="15"/>
      <c r="I21" s="15"/>
      <c r="J21" s="13"/>
      <c r="K21" s="13"/>
      <c r="L21" s="5"/>
      <c r="M21" s="5"/>
    </row>
    <row r="22" customFormat="false" ht="15" hidden="false" customHeight="false" outlineLevel="0" collapsed="false">
      <c r="A22" s="5"/>
      <c r="B22" s="13"/>
      <c r="C22" s="5"/>
      <c r="D22" s="5" t="str">
        <f aca="false">IF(C22="","",IFERROR(INDEX(Clients!$B:$B,MATCH(C22,Clients!$A:$A,0)),"Check client ID"))</f>
        <v/>
      </c>
      <c r="E22" s="5"/>
      <c r="F22" s="5"/>
      <c r="G22" s="5"/>
      <c r="H22" s="15"/>
      <c r="I22" s="15"/>
      <c r="J22" s="13"/>
      <c r="K22" s="13"/>
      <c r="L22" s="5"/>
      <c r="M22" s="5"/>
    </row>
    <row r="23" customFormat="false" ht="15" hidden="false" customHeight="false" outlineLevel="0" collapsed="false">
      <c r="A23" s="5"/>
      <c r="B23" s="13"/>
      <c r="C23" s="5"/>
      <c r="D23" s="5" t="str">
        <f aca="false">IF(C23="","",IFERROR(INDEX(Clients!$B:$B,MATCH(C23,Clients!$A:$A,0)),"Check client ID"))</f>
        <v/>
      </c>
      <c r="E23" s="5"/>
      <c r="F23" s="5"/>
      <c r="G23" s="5"/>
      <c r="H23" s="15"/>
      <c r="I23" s="15"/>
      <c r="J23" s="13"/>
      <c r="K23" s="13"/>
      <c r="L23" s="5"/>
      <c r="M23" s="5"/>
    </row>
    <row r="24" customFormat="false" ht="15" hidden="false" customHeight="false" outlineLevel="0" collapsed="false">
      <c r="A24" s="5"/>
      <c r="B24" s="13"/>
      <c r="C24" s="5"/>
      <c r="D24" s="5" t="str">
        <f aca="false">IF(C24="","",IFERROR(INDEX(Clients!$B:$B,MATCH(C24,Clients!$A:$A,0)),"Check client ID"))</f>
        <v/>
      </c>
      <c r="E24" s="5"/>
      <c r="F24" s="5"/>
      <c r="G24" s="5"/>
      <c r="H24" s="15"/>
      <c r="I24" s="15"/>
      <c r="J24" s="13"/>
      <c r="K24" s="13"/>
      <c r="L24" s="5"/>
      <c r="M24" s="5"/>
    </row>
    <row r="25" customFormat="false" ht="15" hidden="false" customHeight="false" outlineLevel="0" collapsed="false">
      <c r="A25" s="5"/>
      <c r="B25" s="13"/>
      <c r="C25" s="5"/>
      <c r="D25" s="5" t="str">
        <f aca="false">IF(C25="","",IFERROR(INDEX(Clients!$B:$B,MATCH(C25,Clients!$A:$A,0)),"Check client ID"))</f>
        <v/>
      </c>
      <c r="E25" s="5"/>
      <c r="F25" s="5"/>
      <c r="G25" s="5"/>
      <c r="H25" s="15"/>
      <c r="I25" s="15"/>
      <c r="J25" s="13"/>
      <c r="K25" s="13"/>
      <c r="L25" s="5"/>
      <c r="M25" s="5"/>
    </row>
    <row r="26" customFormat="false" ht="15" hidden="false" customHeight="false" outlineLevel="0" collapsed="false">
      <c r="A26" s="5"/>
      <c r="B26" s="13"/>
      <c r="C26" s="5"/>
      <c r="D26" s="5" t="str">
        <f aca="false">IF(C26="","",IFERROR(INDEX(Clients!$B:$B,MATCH(C26,Clients!$A:$A,0)),"Check client ID"))</f>
        <v/>
      </c>
      <c r="E26" s="5"/>
      <c r="F26" s="5"/>
      <c r="G26" s="5"/>
      <c r="H26" s="15"/>
      <c r="I26" s="15"/>
      <c r="J26" s="13"/>
      <c r="K26" s="13"/>
      <c r="L26" s="5"/>
      <c r="M26" s="5"/>
    </row>
    <row r="27" customFormat="false" ht="15" hidden="false" customHeight="false" outlineLevel="0" collapsed="false">
      <c r="A27" s="5"/>
      <c r="B27" s="13"/>
      <c r="C27" s="5"/>
      <c r="D27" s="5" t="str">
        <f aca="false">IF(C27="","",IFERROR(INDEX(Clients!$B:$B,MATCH(C27,Clients!$A:$A,0)),"Check client ID"))</f>
        <v/>
      </c>
      <c r="E27" s="5"/>
      <c r="F27" s="5"/>
      <c r="G27" s="5"/>
      <c r="H27" s="15"/>
      <c r="I27" s="15"/>
      <c r="J27" s="13"/>
      <c r="K27" s="13"/>
      <c r="L27" s="5"/>
      <c r="M27" s="5"/>
    </row>
    <row r="28" customFormat="false" ht="15" hidden="false" customHeight="false" outlineLevel="0" collapsed="false">
      <c r="A28" s="5"/>
      <c r="B28" s="13"/>
      <c r="C28" s="5"/>
      <c r="D28" s="5" t="str">
        <f aca="false">IF(C28="","",IFERROR(INDEX(Clients!$B:$B,MATCH(C28,Clients!$A:$A,0)),"Check client ID"))</f>
        <v/>
      </c>
      <c r="E28" s="5"/>
      <c r="F28" s="5"/>
      <c r="G28" s="5"/>
      <c r="H28" s="15"/>
      <c r="I28" s="15"/>
      <c r="J28" s="13"/>
      <c r="K28" s="13"/>
      <c r="L28" s="5"/>
      <c r="M28" s="5"/>
    </row>
    <row r="29" customFormat="false" ht="15" hidden="false" customHeight="false" outlineLevel="0" collapsed="false">
      <c r="A29" s="5"/>
      <c r="B29" s="13"/>
      <c r="C29" s="5"/>
      <c r="D29" s="5" t="str">
        <f aca="false">IF(C29="","",IFERROR(INDEX(Clients!$B:$B,MATCH(C29,Clients!$A:$A,0)),"Check client ID"))</f>
        <v/>
      </c>
      <c r="E29" s="5"/>
      <c r="F29" s="5"/>
      <c r="G29" s="5"/>
      <c r="H29" s="15"/>
      <c r="I29" s="15"/>
      <c r="J29" s="13"/>
      <c r="K29" s="13"/>
      <c r="L29" s="5"/>
      <c r="M29" s="5"/>
    </row>
    <row r="30" customFormat="false" ht="15" hidden="false" customHeight="false" outlineLevel="0" collapsed="false">
      <c r="A30" s="5"/>
      <c r="B30" s="13"/>
      <c r="C30" s="5"/>
      <c r="D30" s="5" t="str">
        <f aca="false">IF(C30="","",IFERROR(INDEX(Clients!$B:$B,MATCH(C30,Clients!$A:$A,0)),"Check client ID"))</f>
        <v/>
      </c>
      <c r="E30" s="5"/>
      <c r="F30" s="5"/>
      <c r="G30" s="5"/>
      <c r="H30" s="15"/>
      <c r="I30" s="15"/>
      <c r="J30" s="13"/>
      <c r="K30" s="13"/>
      <c r="L30" s="5"/>
      <c r="M30" s="5"/>
    </row>
    <row r="31" customFormat="false" ht="15" hidden="false" customHeight="false" outlineLevel="0" collapsed="false">
      <c r="A31" s="5"/>
      <c r="B31" s="13"/>
      <c r="C31" s="5"/>
      <c r="D31" s="5" t="str">
        <f aca="false">IF(C31="","",IFERROR(INDEX(Clients!$B:$B,MATCH(C31,Clients!$A:$A,0)),"Check client ID"))</f>
        <v/>
      </c>
      <c r="E31" s="5"/>
      <c r="F31" s="5"/>
      <c r="G31" s="5"/>
      <c r="H31" s="15"/>
      <c r="I31" s="15"/>
      <c r="J31" s="13"/>
      <c r="K31" s="13"/>
      <c r="L31" s="5"/>
      <c r="M31" s="5"/>
    </row>
    <row r="32" customFormat="false" ht="15" hidden="false" customHeight="false" outlineLevel="0" collapsed="false">
      <c r="A32" s="5"/>
      <c r="B32" s="13"/>
      <c r="C32" s="5"/>
      <c r="D32" s="5" t="str">
        <f aca="false">IF(C32="","",IFERROR(INDEX(Clients!$B:$B,MATCH(C32,Clients!$A:$A,0)),"Check client ID"))</f>
        <v/>
      </c>
      <c r="E32" s="5"/>
      <c r="F32" s="5"/>
      <c r="G32" s="5"/>
      <c r="H32" s="15"/>
      <c r="I32" s="15"/>
      <c r="J32" s="13"/>
      <c r="K32" s="13"/>
      <c r="L32" s="5"/>
      <c r="M32" s="5"/>
    </row>
    <row r="33" customFormat="false" ht="15" hidden="false" customHeight="false" outlineLevel="0" collapsed="false">
      <c r="A33" s="5"/>
      <c r="B33" s="13"/>
      <c r="C33" s="5"/>
      <c r="D33" s="5" t="str">
        <f aca="false">IF(C33="","",IFERROR(INDEX(Clients!$B:$B,MATCH(C33,Clients!$A:$A,0)),"Check client ID"))</f>
        <v/>
      </c>
      <c r="E33" s="5"/>
      <c r="F33" s="5"/>
      <c r="G33" s="5"/>
      <c r="H33" s="15"/>
      <c r="I33" s="15"/>
      <c r="J33" s="13"/>
      <c r="K33" s="13"/>
      <c r="L33" s="5"/>
      <c r="M33" s="5"/>
    </row>
    <row r="34" customFormat="false" ht="15" hidden="false" customHeight="false" outlineLevel="0" collapsed="false">
      <c r="A34" s="5"/>
      <c r="B34" s="13"/>
      <c r="C34" s="5"/>
      <c r="D34" s="5" t="str">
        <f aca="false">IF(C34="","",IFERROR(INDEX(Clients!$B:$B,MATCH(C34,Clients!$A:$A,0)),"Check client ID"))</f>
        <v/>
      </c>
      <c r="E34" s="5"/>
      <c r="F34" s="5"/>
      <c r="G34" s="5"/>
      <c r="H34" s="15"/>
      <c r="I34" s="15"/>
      <c r="J34" s="13"/>
      <c r="K34" s="13"/>
      <c r="L34" s="5"/>
      <c r="M34" s="5"/>
    </row>
    <row r="35" customFormat="false" ht="15" hidden="false" customHeight="false" outlineLevel="0" collapsed="false">
      <c r="A35" s="5"/>
      <c r="B35" s="13"/>
      <c r="C35" s="5"/>
      <c r="D35" s="5" t="str">
        <f aca="false">IF(C35="","",IFERROR(INDEX(Clients!$B:$B,MATCH(C35,Clients!$A:$A,0)),"Check client ID"))</f>
        <v/>
      </c>
      <c r="E35" s="5"/>
      <c r="F35" s="5"/>
      <c r="G35" s="5"/>
      <c r="H35" s="15"/>
      <c r="I35" s="15"/>
      <c r="J35" s="13"/>
      <c r="K35" s="13"/>
      <c r="L35" s="5"/>
      <c r="M35" s="5"/>
    </row>
    <row r="36" customFormat="false" ht="15" hidden="false" customHeight="false" outlineLevel="0" collapsed="false">
      <c r="A36" s="5"/>
      <c r="B36" s="13"/>
      <c r="C36" s="5"/>
      <c r="D36" s="5" t="str">
        <f aca="false">IF(C36="","",IFERROR(INDEX(Clients!$B:$B,MATCH(C36,Clients!$A:$A,0)),"Check client ID"))</f>
        <v/>
      </c>
      <c r="E36" s="5"/>
      <c r="F36" s="5"/>
      <c r="G36" s="5"/>
      <c r="H36" s="15"/>
      <c r="I36" s="15"/>
      <c r="J36" s="13"/>
      <c r="K36" s="13"/>
      <c r="L36" s="5"/>
      <c r="M36" s="5"/>
    </row>
    <row r="37" customFormat="false" ht="15" hidden="false" customHeight="false" outlineLevel="0" collapsed="false">
      <c r="A37" s="5"/>
      <c r="B37" s="13"/>
      <c r="C37" s="5"/>
      <c r="D37" s="5" t="str">
        <f aca="false">IF(C37="","",IFERROR(INDEX(Clients!$B:$B,MATCH(C37,Clients!$A:$A,0)),"Check client ID"))</f>
        <v/>
      </c>
      <c r="E37" s="5"/>
      <c r="F37" s="5"/>
      <c r="G37" s="5"/>
      <c r="H37" s="15"/>
      <c r="I37" s="15"/>
      <c r="J37" s="13"/>
      <c r="K37" s="13"/>
      <c r="L37" s="5"/>
      <c r="M37" s="5"/>
    </row>
    <row r="38" customFormat="false" ht="15" hidden="false" customHeight="false" outlineLevel="0" collapsed="false">
      <c r="A38" s="5"/>
      <c r="B38" s="13"/>
      <c r="C38" s="5"/>
      <c r="D38" s="5" t="str">
        <f aca="false">IF(C38="","",IFERROR(INDEX(Clients!$B:$B,MATCH(C38,Clients!$A:$A,0)),"Check client ID"))</f>
        <v/>
      </c>
      <c r="E38" s="5"/>
      <c r="F38" s="5"/>
      <c r="G38" s="5"/>
      <c r="H38" s="15"/>
      <c r="I38" s="15"/>
      <c r="J38" s="13"/>
      <c r="K38" s="13"/>
      <c r="L38" s="5"/>
      <c r="M38" s="5"/>
    </row>
    <row r="39" customFormat="false" ht="15" hidden="false" customHeight="false" outlineLevel="0" collapsed="false">
      <c r="A39" s="5"/>
      <c r="B39" s="13"/>
      <c r="C39" s="5"/>
      <c r="D39" s="5" t="str">
        <f aca="false">IF(C39="","",IFERROR(INDEX(Clients!$B:$B,MATCH(C39,Clients!$A:$A,0)),"Check client ID"))</f>
        <v/>
      </c>
      <c r="E39" s="5"/>
      <c r="F39" s="5"/>
      <c r="G39" s="5"/>
      <c r="H39" s="15"/>
      <c r="I39" s="15"/>
      <c r="J39" s="13"/>
      <c r="K39" s="13"/>
      <c r="L39" s="5"/>
      <c r="M39" s="5"/>
    </row>
    <row r="40" customFormat="false" ht="15" hidden="false" customHeight="false" outlineLevel="0" collapsed="false">
      <c r="A40" s="5"/>
      <c r="B40" s="13"/>
      <c r="C40" s="5"/>
      <c r="D40" s="5" t="str">
        <f aca="false">IF(C40="","",IFERROR(INDEX(Clients!$B:$B,MATCH(C40,Clients!$A:$A,0)),"Check client ID"))</f>
        <v/>
      </c>
      <c r="E40" s="5"/>
      <c r="F40" s="5"/>
      <c r="G40" s="5"/>
      <c r="H40" s="15"/>
      <c r="I40" s="15"/>
      <c r="J40" s="13"/>
      <c r="K40" s="13"/>
      <c r="L40" s="5"/>
      <c r="M40" s="5"/>
    </row>
    <row r="41" customFormat="false" ht="15" hidden="false" customHeight="false" outlineLevel="0" collapsed="false">
      <c r="A41" s="5"/>
      <c r="B41" s="13"/>
      <c r="C41" s="5"/>
      <c r="D41" s="5" t="str">
        <f aca="false">IF(C41="","",IFERROR(INDEX(Clients!$B:$B,MATCH(C41,Clients!$A:$A,0)),"Check client ID"))</f>
        <v/>
      </c>
      <c r="E41" s="5"/>
      <c r="F41" s="5"/>
      <c r="G41" s="5"/>
      <c r="H41" s="15"/>
      <c r="I41" s="15"/>
      <c r="J41" s="13"/>
      <c r="K41" s="13"/>
      <c r="L41" s="5"/>
      <c r="M41" s="5"/>
    </row>
    <row r="42" customFormat="false" ht="15" hidden="false" customHeight="false" outlineLevel="0" collapsed="false">
      <c r="A42" s="5"/>
      <c r="B42" s="13"/>
      <c r="C42" s="5"/>
      <c r="D42" s="5" t="str">
        <f aca="false">IF(C42="","",IFERROR(INDEX(Clients!$B:$B,MATCH(C42,Clients!$A:$A,0)),"Check client ID"))</f>
        <v/>
      </c>
      <c r="E42" s="5"/>
      <c r="F42" s="5"/>
      <c r="G42" s="5"/>
      <c r="H42" s="15"/>
      <c r="I42" s="15"/>
      <c r="J42" s="13"/>
      <c r="K42" s="13"/>
      <c r="L42" s="5"/>
      <c r="M42" s="5"/>
    </row>
    <row r="43" customFormat="false" ht="15" hidden="false" customHeight="false" outlineLevel="0" collapsed="false">
      <c r="A43" s="5"/>
      <c r="B43" s="13"/>
      <c r="C43" s="5"/>
      <c r="D43" s="5" t="str">
        <f aca="false">IF(C43="","",IFERROR(INDEX(Clients!$B:$B,MATCH(C43,Clients!$A:$A,0)),"Check client ID"))</f>
        <v/>
      </c>
      <c r="E43" s="5"/>
      <c r="F43" s="5"/>
      <c r="G43" s="5"/>
      <c r="H43" s="15"/>
      <c r="I43" s="15"/>
      <c r="J43" s="13"/>
      <c r="K43" s="13"/>
      <c r="L43" s="5"/>
      <c r="M43" s="5"/>
    </row>
    <row r="44" customFormat="false" ht="15" hidden="false" customHeight="false" outlineLevel="0" collapsed="false">
      <c r="A44" s="5"/>
      <c r="B44" s="13"/>
      <c r="C44" s="5"/>
      <c r="D44" s="5" t="str">
        <f aca="false">IF(C44="","",IFERROR(INDEX(Clients!$B:$B,MATCH(C44,Clients!$A:$A,0)),"Check client ID"))</f>
        <v/>
      </c>
      <c r="E44" s="5"/>
      <c r="F44" s="5"/>
      <c r="G44" s="5"/>
      <c r="H44" s="15"/>
      <c r="I44" s="15"/>
      <c r="J44" s="13"/>
      <c r="K44" s="13"/>
      <c r="L44" s="5"/>
      <c r="M44" s="5"/>
    </row>
    <row r="45" customFormat="false" ht="15" hidden="false" customHeight="false" outlineLevel="0" collapsed="false">
      <c r="A45" s="5"/>
      <c r="B45" s="13"/>
      <c r="C45" s="5"/>
      <c r="D45" s="5" t="str">
        <f aca="false">IF(C45="","",IFERROR(INDEX(Clients!$B:$B,MATCH(C45,Clients!$A:$A,0)),"Check client ID"))</f>
        <v/>
      </c>
      <c r="E45" s="5"/>
      <c r="F45" s="5"/>
      <c r="G45" s="5"/>
      <c r="H45" s="15"/>
      <c r="I45" s="15"/>
      <c r="J45" s="13"/>
      <c r="K45" s="13"/>
      <c r="L45" s="5"/>
      <c r="M45" s="5"/>
    </row>
    <row r="46" customFormat="false" ht="15" hidden="false" customHeight="false" outlineLevel="0" collapsed="false">
      <c r="A46" s="5"/>
      <c r="B46" s="13"/>
      <c r="C46" s="5"/>
      <c r="D46" s="5" t="str">
        <f aca="false">IF(C46="","",IFERROR(INDEX(Clients!$B:$B,MATCH(C46,Clients!$A:$A,0)),"Check client ID"))</f>
        <v/>
      </c>
      <c r="E46" s="5"/>
      <c r="F46" s="5"/>
      <c r="G46" s="5"/>
      <c r="H46" s="15"/>
      <c r="I46" s="15"/>
      <c r="J46" s="13"/>
      <c r="K46" s="13"/>
      <c r="L46" s="5"/>
      <c r="M46" s="5"/>
    </row>
    <row r="47" customFormat="false" ht="15" hidden="false" customHeight="false" outlineLevel="0" collapsed="false">
      <c r="A47" s="5"/>
      <c r="B47" s="13"/>
      <c r="C47" s="5"/>
      <c r="D47" s="5" t="str">
        <f aca="false">IF(C47="","",IFERROR(INDEX(Clients!$B:$B,MATCH(C47,Clients!$A:$A,0)),"Check client ID"))</f>
        <v/>
      </c>
      <c r="E47" s="5"/>
      <c r="F47" s="5"/>
      <c r="G47" s="5"/>
      <c r="H47" s="15"/>
      <c r="I47" s="15"/>
      <c r="J47" s="13"/>
      <c r="K47" s="13"/>
      <c r="L47" s="5"/>
      <c r="M47" s="5"/>
    </row>
    <row r="48" customFormat="false" ht="15" hidden="false" customHeight="false" outlineLevel="0" collapsed="false">
      <c r="A48" s="5"/>
      <c r="B48" s="13"/>
      <c r="C48" s="5"/>
      <c r="D48" s="5" t="str">
        <f aca="false">IF(C48="","",IFERROR(INDEX(Clients!$B:$B,MATCH(C48,Clients!$A:$A,0)),"Check client ID"))</f>
        <v/>
      </c>
      <c r="E48" s="5"/>
      <c r="F48" s="5"/>
      <c r="G48" s="5"/>
      <c r="H48" s="15"/>
      <c r="I48" s="15"/>
      <c r="J48" s="13"/>
      <c r="K48" s="13"/>
      <c r="L48" s="5"/>
      <c r="M48" s="5"/>
    </row>
    <row r="49" customFormat="false" ht="15" hidden="false" customHeight="false" outlineLevel="0" collapsed="false">
      <c r="A49" s="5"/>
      <c r="B49" s="13"/>
      <c r="C49" s="5"/>
      <c r="D49" s="5" t="str">
        <f aca="false">IF(C49="","",IFERROR(INDEX(Clients!$B:$B,MATCH(C49,Clients!$A:$A,0)),"Check client ID"))</f>
        <v/>
      </c>
      <c r="E49" s="5"/>
      <c r="F49" s="5"/>
      <c r="G49" s="5"/>
      <c r="H49" s="15"/>
      <c r="I49" s="15"/>
      <c r="J49" s="13"/>
      <c r="K49" s="13"/>
      <c r="L49" s="5"/>
      <c r="M49" s="5"/>
    </row>
    <row r="50" customFormat="false" ht="15" hidden="false" customHeight="false" outlineLevel="0" collapsed="false">
      <c r="A50" s="5"/>
      <c r="B50" s="13"/>
      <c r="C50" s="5"/>
      <c r="D50" s="5" t="str">
        <f aca="false">IF(C50="","",IFERROR(INDEX(Clients!$B:$B,MATCH(C50,Clients!$A:$A,0)),"Check client ID"))</f>
        <v/>
      </c>
      <c r="E50" s="5"/>
      <c r="F50" s="5"/>
      <c r="G50" s="5"/>
      <c r="H50" s="15"/>
      <c r="I50" s="15"/>
      <c r="J50" s="13"/>
      <c r="K50" s="13"/>
      <c r="L50" s="5"/>
      <c r="M50" s="5"/>
    </row>
    <row r="51" customFormat="false" ht="15" hidden="false" customHeight="false" outlineLevel="0" collapsed="false">
      <c r="A51" s="5"/>
      <c r="B51" s="13"/>
      <c r="C51" s="5"/>
      <c r="D51" s="5" t="str">
        <f aca="false">IF(C51="","",IFERROR(INDEX(Clients!$B:$B,MATCH(C51,Clients!$A:$A,0)),"Check client ID"))</f>
        <v/>
      </c>
      <c r="E51" s="5"/>
      <c r="F51" s="5"/>
      <c r="G51" s="5"/>
      <c r="H51" s="15"/>
      <c r="I51" s="15"/>
      <c r="J51" s="13"/>
      <c r="K51" s="13"/>
      <c r="L51" s="5"/>
      <c r="M51" s="5"/>
    </row>
    <row r="52" customFormat="false" ht="15" hidden="false" customHeight="false" outlineLevel="0" collapsed="false">
      <c r="A52" s="5"/>
      <c r="B52" s="13"/>
      <c r="C52" s="5"/>
      <c r="D52" s="5" t="str">
        <f aca="false">IF(C52="","",IFERROR(INDEX(Clients!$B:$B,MATCH(C52,Clients!$A:$A,0)),"Check client ID"))</f>
        <v/>
      </c>
      <c r="E52" s="5"/>
      <c r="F52" s="5"/>
      <c r="G52" s="5"/>
      <c r="H52" s="15"/>
      <c r="I52" s="15"/>
      <c r="J52" s="13"/>
      <c r="K52" s="13"/>
      <c r="L52" s="5"/>
      <c r="M52" s="5"/>
    </row>
    <row r="53" customFormat="false" ht="15" hidden="false" customHeight="false" outlineLevel="0" collapsed="false">
      <c r="A53" s="5"/>
      <c r="B53" s="13"/>
      <c r="C53" s="5"/>
      <c r="D53" s="5" t="str">
        <f aca="false">IF(C53="","",IFERROR(INDEX(Clients!$B:$B,MATCH(C53,Clients!$A:$A,0)),"Check client ID"))</f>
        <v/>
      </c>
      <c r="E53" s="5"/>
      <c r="F53" s="5"/>
      <c r="G53" s="5"/>
      <c r="H53" s="15"/>
      <c r="I53" s="15"/>
      <c r="J53" s="13"/>
      <c r="K53" s="13"/>
      <c r="L53" s="5"/>
      <c r="M53" s="5"/>
    </row>
    <row r="54" customFormat="false" ht="15" hidden="false" customHeight="false" outlineLevel="0" collapsed="false">
      <c r="A54" s="5"/>
      <c r="B54" s="13"/>
      <c r="C54" s="5"/>
      <c r="D54" s="5" t="str">
        <f aca="false">IF(C54="","",IFERROR(INDEX(Clients!$B:$B,MATCH(C54,Clients!$A:$A,0)),"Check client ID"))</f>
        <v/>
      </c>
      <c r="E54" s="5"/>
      <c r="F54" s="5"/>
      <c r="G54" s="5"/>
      <c r="H54" s="15"/>
      <c r="I54" s="15"/>
      <c r="J54" s="13"/>
      <c r="K54" s="13"/>
      <c r="L54" s="5"/>
      <c r="M54" s="5"/>
    </row>
    <row r="55" customFormat="false" ht="15" hidden="false" customHeight="false" outlineLevel="0" collapsed="false">
      <c r="A55" s="5"/>
      <c r="B55" s="13"/>
      <c r="C55" s="5"/>
      <c r="D55" s="5" t="str">
        <f aca="false">IF(C55="","",IFERROR(INDEX(Clients!$B:$B,MATCH(C55,Clients!$A:$A,0)),"Check client ID"))</f>
        <v/>
      </c>
      <c r="E55" s="5"/>
      <c r="F55" s="5"/>
      <c r="G55" s="5"/>
      <c r="H55" s="15"/>
      <c r="I55" s="15"/>
      <c r="J55" s="13"/>
      <c r="K55" s="13"/>
      <c r="L55" s="5"/>
      <c r="M55" s="5"/>
    </row>
    <row r="56" customFormat="false" ht="15" hidden="false" customHeight="false" outlineLevel="0" collapsed="false">
      <c r="A56" s="5"/>
      <c r="B56" s="13"/>
      <c r="C56" s="5"/>
      <c r="D56" s="5" t="str">
        <f aca="false">IF(C56="","",IFERROR(INDEX(Clients!$B:$B,MATCH(C56,Clients!$A:$A,0)),"Check client ID"))</f>
        <v/>
      </c>
      <c r="E56" s="5"/>
      <c r="F56" s="5"/>
      <c r="G56" s="5"/>
      <c r="H56" s="15"/>
      <c r="I56" s="15"/>
      <c r="J56" s="13"/>
      <c r="K56" s="13"/>
      <c r="L56" s="5"/>
      <c r="M56" s="5"/>
    </row>
    <row r="57" customFormat="false" ht="15" hidden="false" customHeight="false" outlineLevel="0" collapsed="false">
      <c r="A57" s="5"/>
      <c r="B57" s="13"/>
      <c r="C57" s="5"/>
      <c r="D57" s="5" t="str">
        <f aca="false">IF(C57="","",IFERROR(INDEX(Clients!$B:$B,MATCH(C57,Clients!$A:$A,0)),"Check client ID"))</f>
        <v/>
      </c>
      <c r="E57" s="5"/>
      <c r="F57" s="5"/>
      <c r="G57" s="5"/>
      <c r="H57" s="15"/>
      <c r="I57" s="15"/>
      <c r="J57" s="13"/>
      <c r="K57" s="13"/>
      <c r="L57" s="5"/>
      <c r="M57" s="5"/>
    </row>
    <row r="58" customFormat="false" ht="15" hidden="false" customHeight="false" outlineLevel="0" collapsed="false">
      <c r="A58" s="5"/>
      <c r="B58" s="13"/>
      <c r="C58" s="5"/>
      <c r="D58" s="5" t="str">
        <f aca="false">IF(C58="","",IFERROR(INDEX(Clients!$B:$B,MATCH(C58,Clients!$A:$A,0)),"Check client ID"))</f>
        <v/>
      </c>
      <c r="E58" s="5"/>
      <c r="F58" s="5"/>
      <c r="G58" s="5"/>
      <c r="H58" s="15"/>
      <c r="I58" s="15"/>
      <c r="J58" s="13"/>
      <c r="K58" s="13"/>
      <c r="L58" s="5"/>
      <c r="M58" s="5"/>
    </row>
    <row r="59" customFormat="false" ht="15" hidden="false" customHeight="false" outlineLevel="0" collapsed="false">
      <c r="A59" s="5"/>
      <c r="B59" s="13"/>
      <c r="C59" s="5"/>
      <c r="D59" s="5" t="str">
        <f aca="false">IF(C59="","",IFERROR(INDEX(Clients!$B:$B,MATCH(C59,Clients!$A:$A,0)),"Check client ID"))</f>
        <v/>
      </c>
      <c r="E59" s="5"/>
      <c r="F59" s="5"/>
      <c r="G59" s="5"/>
      <c r="H59" s="15"/>
      <c r="I59" s="15"/>
      <c r="J59" s="13"/>
      <c r="K59" s="13"/>
      <c r="L59" s="5"/>
      <c r="M59" s="5"/>
    </row>
    <row r="60" customFormat="false" ht="15" hidden="false" customHeight="false" outlineLevel="0" collapsed="false">
      <c r="A60" s="5"/>
      <c r="B60" s="13"/>
      <c r="C60" s="5"/>
      <c r="D60" s="5" t="str">
        <f aca="false">IF(C60="","",IFERROR(INDEX(Clients!$B:$B,MATCH(C60,Clients!$A:$A,0)),"Check client ID"))</f>
        <v/>
      </c>
      <c r="E60" s="5"/>
      <c r="F60" s="5"/>
      <c r="G60" s="5"/>
      <c r="H60" s="15"/>
      <c r="I60" s="15"/>
      <c r="J60" s="13"/>
      <c r="K60" s="13"/>
      <c r="L60" s="5"/>
      <c r="M60" s="5"/>
    </row>
    <row r="61" customFormat="false" ht="15" hidden="false" customHeight="false" outlineLevel="0" collapsed="false">
      <c r="A61" s="5"/>
      <c r="B61" s="13"/>
      <c r="C61" s="5"/>
      <c r="D61" s="5" t="str">
        <f aca="false">IF(C61="","",IFERROR(INDEX(Clients!$B:$B,MATCH(C61,Clients!$A:$A,0)),"Check client ID"))</f>
        <v/>
      </c>
      <c r="E61" s="5"/>
      <c r="F61" s="5"/>
      <c r="G61" s="5"/>
      <c r="H61" s="15"/>
      <c r="I61" s="15"/>
      <c r="J61" s="13"/>
      <c r="K61" s="13"/>
      <c r="L61" s="5"/>
      <c r="M61" s="5"/>
    </row>
    <row r="62" customFormat="false" ht="15" hidden="false" customHeight="false" outlineLevel="0" collapsed="false">
      <c r="A62" s="5"/>
      <c r="B62" s="13"/>
      <c r="C62" s="5"/>
      <c r="D62" s="5" t="str">
        <f aca="false">IF(C62="","",IFERROR(INDEX(Clients!$B:$B,MATCH(C62,Clients!$A:$A,0)),"Check client ID"))</f>
        <v/>
      </c>
      <c r="E62" s="5"/>
      <c r="F62" s="5"/>
      <c r="G62" s="5"/>
      <c r="H62" s="15"/>
      <c r="I62" s="15"/>
      <c r="J62" s="13"/>
      <c r="K62" s="13"/>
      <c r="L62" s="5"/>
      <c r="M62" s="5"/>
    </row>
    <row r="63" customFormat="false" ht="15" hidden="false" customHeight="false" outlineLevel="0" collapsed="false">
      <c r="A63" s="5"/>
      <c r="B63" s="13"/>
      <c r="C63" s="5"/>
      <c r="D63" s="5" t="str">
        <f aca="false">IF(C63="","",IFERROR(INDEX(Clients!$B:$B,MATCH(C63,Clients!$A:$A,0)),"Check client ID"))</f>
        <v/>
      </c>
      <c r="E63" s="5"/>
      <c r="F63" s="5"/>
      <c r="G63" s="5"/>
      <c r="H63" s="15"/>
      <c r="I63" s="15"/>
      <c r="J63" s="13"/>
      <c r="K63" s="13"/>
      <c r="L63" s="5"/>
      <c r="M63" s="5"/>
    </row>
    <row r="64" customFormat="false" ht="15" hidden="false" customHeight="false" outlineLevel="0" collapsed="false">
      <c r="A64" s="5"/>
      <c r="B64" s="13"/>
      <c r="C64" s="5"/>
      <c r="D64" s="5" t="str">
        <f aca="false">IF(C64="","",IFERROR(INDEX(Clients!$B:$B,MATCH(C64,Clients!$A:$A,0)),"Check client ID"))</f>
        <v/>
      </c>
      <c r="E64" s="5"/>
      <c r="F64" s="5"/>
      <c r="G64" s="5"/>
      <c r="H64" s="15"/>
      <c r="I64" s="15"/>
      <c r="J64" s="13"/>
      <c r="K64" s="13"/>
      <c r="L64" s="5"/>
      <c r="M64" s="5"/>
    </row>
    <row r="65" customFormat="false" ht="15" hidden="false" customHeight="false" outlineLevel="0" collapsed="false">
      <c r="A65" s="5"/>
      <c r="B65" s="13"/>
      <c r="C65" s="5"/>
      <c r="D65" s="5" t="str">
        <f aca="false">IF(C65="","",IFERROR(INDEX(Clients!$B:$B,MATCH(C65,Clients!$A:$A,0)),"Check client ID"))</f>
        <v/>
      </c>
      <c r="E65" s="5"/>
      <c r="F65" s="5"/>
      <c r="G65" s="5"/>
      <c r="H65" s="15"/>
      <c r="I65" s="15"/>
      <c r="J65" s="13"/>
      <c r="K65" s="13"/>
      <c r="L65" s="5"/>
      <c r="M65" s="5"/>
    </row>
    <row r="66" customFormat="false" ht="15" hidden="false" customHeight="false" outlineLevel="0" collapsed="false">
      <c r="A66" s="5"/>
      <c r="B66" s="13"/>
      <c r="C66" s="5"/>
      <c r="D66" s="5" t="str">
        <f aca="false">IF(C66="","",IFERROR(INDEX(Clients!$B:$B,MATCH(C66,Clients!$A:$A,0)),"Check client ID"))</f>
        <v/>
      </c>
      <c r="E66" s="5"/>
      <c r="F66" s="5"/>
      <c r="G66" s="5"/>
      <c r="H66" s="15"/>
      <c r="I66" s="15"/>
      <c r="J66" s="13"/>
      <c r="K66" s="13"/>
      <c r="L66" s="5"/>
      <c r="M66" s="5"/>
    </row>
    <row r="67" customFormat="false" ht="15" hidden="false" customHeight="false" outlineLevel="0" collapsed="false">
      <c r="A67" s="5"/>
      <c r="B67" s="13"/>
      <c r="C67" s="5"/>
      <c r="D67" s="5" t="str">
        <f aca="false">IF(C67="","",IFERROR(INDEX(Clients!$B:$B,MATCH(C67,Clients!$A:$A,0)),"Check client ID"))</f>
        <v/>
      </c>
      <c r="E67" s="5"/>
      <c r="F67" s="5"/>
      <c r="G67" s="5"/>
      <c r="H67" s="15"/>
      <c r="I67" s="15"/>
      <c r="J67" s="13"/>
      <c r="K67" s="13"/>
      <c r="L67" s="5"/>
      <c r="M67" s="5"/>
    </row>
    <row r="68" customFormat="false" ht="15" hidden="false" customHeight="false" outlineLevel="0" collapsed="false">
      <c r="A68" s="5"/>
      <c r="B68" s="13"/>
      <c r="C68" s="5"/>
      <c r="D68" s="5" t="str">
        <f aca="false">IF(C68="","",IFERROR(INDEX(Clients!$B:$B,MATCH(C68,Clients!$A:$A,0)),"Check client ID"))</f>
        <v/>
      </c>
      <c r="E68" s="5"/>
      <c r="F68" s="5"/>
      <c r="G68" s="5"/>
      <c r="H68" s="15"/>
      <c r="I68" s="15"/>
      <c r="J68" s="13"/>
      <c r="K68" s="13"/>
      <c r="L68" s="5"/>
      <c r="M68" s="5"/>
    </row>
    <row r="69" customFormat="false" ht="15" hidden="false" customHeight="false" outlineLevel="0" collapsed="false">
      <c r="A69" s="5"/>
      <c r="B69" s="13"/>
      <c r="C69" s="5"/>
      <c r="D69" s="5" t="str">
        <f aca="false">IF(C69="","",IFERROR(INDEX(Clients!$B:$B,MATCH(C69,Clients!$A:$A,0)),"Check client ID"))</f>
        <v/>
      </c>
      <c r="E69" s="5"/>
      <c r="F69" s="5"/>
      <c r="G69" s="5"/>
      <c r="H69" s="15"/>
      <c r="I69" s="15"/>
      <c r="J69" s="13"/>
      <c r="K69" s="13"/>
      <c r="L69" s="5"/>
      <c r="M69" s="5"/>
    </row>
    <row r="70" customFormat="false" ht="15" hidden="false" customHeight="false" outlineLevel="0" collapsed="false">
      <c r="A70" s="5"/>
      <c r="B70" s="13"/>
      <c r="C70" s="5"/>
      <c r="D70" s="5" t="str">
        <f aca="false">IF(C70="","",IFERROR(INDEX(Clients!$B:$B,MATCH(C70,Clients!$A:$A,0)),"Check client ID"))</f>
        <v/>
      </c>
      <c r="E70" s="5"/>
      <c r="F70" s="5"/>
      <c r="G70" s="5"/>
      <c r="H70" s="15"/>
      <c r="I70" s="15"/>
      <c r="J70" s="13"/>
      <c r="K70" s="13"/>
      <c r="L70" s="5"/>
      <c r="M70" s="5"/>
    </row>
    <row r="71" customFormat="false" ht="15" hidden="false" customHeight="false" outlineLevel="0" collapsed="false">
      <c r="A71" s="5"/>
      <c r="B71" s="13"/>
      <c r="C71" s="5"/>
      <c r="D71" s="5" t="str">
        <f aca="false">IF(C71="","",IFERROR(INDEX(Clients!$B:$B,MATCH(C71,Clients!$A:$A,0)),"Check client ID"))</f>
        <v/>
      </c>
      <c r="E71" s="5"/>
      <c r="F71" s="5"/>
      <c r="G71" s="5"/>
      <c r="H71" s="15"/>
      <c r="I71" s="15"/>
      <c r="J71" s="13"/>
      <c r="K71" s="13"/>
      <c r="L71" s="5"/>
      <c r="M71" s="5"/>
    </row>
    <row r="72" customFormat="false" ht="15" hidden="false" customHeight="false" outlineLevel="0" collapsed="false">
      <c r="A72" s="5"/>
      <c r="B72" s="13"/>
      <c r="C72" s="5"/>
      <c r="D72" s="5" t="str">
        <f aca="false">IF(C72="","",IFERROR(INDEX(Clients!$B:$B,MATCH(C72,Clients!$A:$A,0)),"Check client ID"))</f>
        <v/>
      </c>
      <c r="E72" s="5"/>
      <c r="F72" s="5"/>
      <c r="G72" s="5"/>
      <c r="H72" s="15"/>
      <c r="I72" s="15"/>
      <c r="J72" s="13"/>
      <c r="K72" s="13"/>
      <c r="L72" s="5"/>
      <c r="M72" s="5"/>
    </row>
    <row r="73" customFormat="false" ht="15" hidden="false" customHeight="false" outlineLevel="0" collapsed="false">
      <c r="A73" s="5"/>
      <c r="B73" s="13"/>
      <c r="C73" s="5"/>
      <c r="D73" s="5" t="str">
        <f aca="false">IF(C73="","",IFERROR(INDEX(Clients!$B:$B,MATCH(C73,Clients!$A:$A,0)),"Check client ID"))</f>
        <v/>
      </c>
      <c r="E73" s="5"/>
      <c r="F73" s="5"/>
      <c r="G73" s="5"/>
      <c r="H73" s="15"/>
      <c r="I73" s="15"/>
      <c r="J73" s="13"/>
      <c r="K73" s="13"/>
      <c r="L73" s="5"/>
      <c r="M73" s="5"/>
    </row>
    <row r="74" customFormat="false" ht="15" hidden="false" customHeight="false" outlineLevel="0" collapsed="false">
      <c r="A74" s="5"/>
      <c r="B74" s="13"/>
      <c r="C74" s="5"/>
      <c r="D74" s="5" t="str">
        <f aca="false">IF(C74="","",IFERROR(INDEX(Clients!$B:$B,MATCH(C74,Clients!$A:$A,0)),"Check client ID"))</f>
        <v/>
      </c>
      <c r="E74" s="5"/>
      <c r="F74" s="5"/>
      <c r="G74" s="5"/>
      <c r="H74" s="15"/>
      <c r="I74" s="15"/>
      <c r="J74" s="13"/>
      <c r="K74" s="13"/>
      <c r="L74" s="5"/>
      <c r="M74" s="5"/>
    </row>
    <row r="75" customFormat="false" ht="15" hidden="false" customHeight="false" outlineLevel="0" collapsed="false">
      <c r="A75" s="5"/>
      <c r="B75" s="13"/>
      <c r="C75" s="5"/>
      <c r="D75" s="5" t="str">
        <f aca="false">IF(C75="","",IFERROR(INDEX(Clients!$B:$B,MATCH(C75,Clients!$A:$A,0)),"Check client ID"))</f>
        <v/>
      </c>
      <c r="E75" s="5"/>
      <c r="F75" s="5"/>
      <c r="G75" s="5"/>
      <c r="H75" s="15"/>
      <c r="I75" s="15"/>
      <c r="J75" s="13"/>
      <c r="K75" s="13"/>
      <c r="L75" s="5"/>
      <c r="M75" s="5"/>
    </row>
    <row r="76" customFormat="false" ht="15" hidden="false" customHeight="false" outlineLevel="0" collapsed="false">
      <c r="A76" s="5"/>
      <c r="B76" s="13"/>
      <c r="C76" s="5"/>
      <c r="D76" s="5" t="str">
        <f aca="false">IF(C76="","",IFERROR(INDEX(Clients!$B:$B,MATCH(C76,Clients!$A:$A,0)),"Check client ID"))</f>
        <v/>
      </c>
      <c r="E76" s="5"/>
      <c r="F76" s="5"/>
      <c r="G76" s="5"/>
      <c r="H76" s="15"/>
      <c r="I76" s="15"/>
      <c r="J76" s="13"/>
      <c r="K76" s="13"/>
      <c r="L76" s="5"/>
      <c r="M76" s="5"/>
    </row>
    <row r="77" customFormat="false" ht="15" hidden="false" customHeight="false" outlineLevel="0" collapsed="false">
      <c r="A77" s="5"/>
      <c r="B77" s="13"/>
      <c r="C77" s="5"/>
      <c r="D77" s="5" t="str">
        <f aca="false">IF(C77="","",IFERROR(INDEX(Clients!$B:$B,MATCH(C77,Clients!$A:$A,0)),"Check client ID"))</f>
        <v/>
      </c>
      <c r="E77" s="5"/>
      <c r="F77" s="5"/>
      <c r="G77" s="5"/>
      <c r="H77" s="15"/>
      <c r="I77" s="15"/>
      <c r="J77" s="13"/>
      <c r="K77" s="13"/>
      <c r="L77" s="5"/>
      <c r="M77" s="5"/>
    </row>
    <row r="78" customFormat="false" ht="15" hidden="false" customHeight="false" outlineLevel="0" collapsed="false">
      <c r="A78" s="5"/>
      <c r="B78" s="13"/>
      <c r="C78" s="5"/>
      <c r="D78" s="5" t="str">
        <f aca="false">IF(C78="","",IFERROR(INDEX(Clients!$B:$B,MATCH(C78,Clients!$A:$A,0)),"Check client ID"))</f>
        <v/>
      </c>
      <c r="E78" s="5"/>
      <c r="F78" s="5"/>
      <c r="G78" s="5"/>
      <c r="H78" s="15"/>
      <c r="I78" s="15"/>
      <c r="J78" s="13"/>
      <c r="K78" s="13"/>
      <c r="L78" s="5"/>
      <c r="M78" s="5"/>
    </row>
    <row r="79" customFormat="false" ht="15" hidden="false" customHeight="false" outlineLevel="0" collapsed="false">
      <c r="A79" s="5"/>
      <c r="B79" s="13"/>
      <c r="C79" s="5"/>
      <c r="D79" s="5" t="str">
        <f aca="false">IF(C79="","",IFERROR(INDEX(Clients!$B:$B,MATCH(C79,Clients!$A:$A,0)),"Check client ID"))</f>
        <v/>
      </c>
      <c r="E79" s="5"/>
      <c r="F79" s="5"/>
      <c r="G79" s="5"/>
      <c r="H79" s="15"/>
      <c r="I79" s="15"/>
      <c r="J79" s="13"/>
      <c r="K79" s="13"/>
      <c r="L79" s="5"/>
      <c r="M79" s="5"/>
    </row>
    <row r="80" customFormat="false" ht="15" hidden="false" customHeight="false" outlineLevel="0" collapsed="false">
      <c r="A80" s="5"/>
      <c r="B80" s="13"/>
      <c r="C80" s="5"/>
      <c r="D80" s="5" t="str">
        <f aca="false">IF(C80="","",IFERROR(INDEX(Clients!$B:$B,MATCH(C80,Clients!$A:$A,0)),"Check client ID"))</f>
        <v/>
      </c>
      <c r="E80" s="5"/>
      <c r="F80" s="5"/>
      <c r="G80" s="5"/>
      <c r="H80" s="15"/>
      <c r="I80" s="15"/>
      <c r="J80" s="13"/>
      <c r="K80" s="13"/>
      <c r="L80" s="5"/>
      <c r="M80" s="5"/>
    </row>
    <row r="81" customFormat="false" ht="15" hidden="false" customHeight="false" outlineLevel="0" collapsed="false">
      <c r="A81" s="5"/>
      <c r="B81" s="13"/>
      <c r="C81" s="5"/>
      <c r="D81" s="5" t="str">
        <f aca="false">IF(C81="","",IFERROR(INDEX(Clients!$B:$B,MATCH(C81,Clients!$A:$A,0)),"Check client ID"))</f>
        <v/>
      </c>
      <c r="E81" s="5"/>
      <c r="F81" s="5"/>
      <c r="G81" s="5"/>
      <c r="H81" s="15"/>
      <c r="I81" s="15"/>
      <c r="J81" s="13"/>
      <c r="K81" s="13"/>
      <c r="L81" s="5"/>
      <c r="M81" s="5"/>
    </row>
    <row r="82" customFormat="false" ht="15" hidden="false" customHeight="false" outlineLevel="0" collapsed="false">
      <c r="A82" s="5"/>
      <c r="B82" s="13"/>
      <c r="C82" s="5"/>
      <c r="D82" s="5" t="str">
        <f aca="false">IF(C82="","",IFERROR(INDEX(Clients!$B:$B,MATCH(C82,Clients!$A:$A,0)),"Check client ID"))</f>
        <v/>
      </c>
      <c r="E82" s="5"/>
      <c r="F82" s="5"/>
      <c r="G82" s="5"/>
      <c r="H82" s="15"/>
      <c r="I82" s="15"/>
      <c r="J82" s="13"/>
      <c r="K82" s="13"/>
      <c r="L82" s="5"/>
      <c r="M82" s="5"/>
    </row>
    <row r="83" customFormat="false" ht="15" hidden="false" customHeight="false" outlineLevel="0" collapsed="false">
      <c r="A83" s="5"/>
      <c r="B83" s="13"/>
      <c r="C83" s="5"/>
      <c r="D83" s="5" t="str">
        <f aca="false">IF(C83="","",IFERROR(INDEX(Clients!$B:$B,MATCH(C83,Clients!$A:$A,0)),"Check client ID"))</f>
        <v/>
      </c>
      <c r="E83" s="5"/>
      <c r="F83" s="5"/>
      <c r="G83" s="5"/>
      <c r="H83" s="15"/>
      <c r="I83" s="15"/>
      <c r="J83" s="13"/>
      <c r="K83" s="13"/>
      <c r="L83" s="5"/>
      <c r="M83" s="5"/>
    </row>
    <row r="84" customFormat="false" ht="15" hidden="false" customHeight="false" outlineLevel="0" collapsed="false">
      <c r="A84" s="5"/>
      <c r="B84" s="13"/>
      <c r="C84" s="5"/>
      <c r="D84" s="5" t="str">
        <f aca="false">IF(C84="","",IFERROR(INDEX(Clients!$B:$B,MATCH(C84,Clients!$A:$A,0)),"Check client ID"))</f>
        <v/>
      </c>
      <c r="E84" s="5"/>
      <c r="F84" s="5"/>
      <c r="G84" s="5"/>
      <c r="H84" s="15"/>
      <c r="I84" s="15"/>
      <c r="J84" s="13"/>
      <c r="K84" s="13"/>
      <c r="L84" s="5"/>
      <c r="M84" s="5"/>
    </row>
    <row r="85" customFormat="false" ht="15" hidden="false" customHeight="false" outlineLevel="0" collapsed="false">
      <c r="A85" s="5"/>
      <c r="B85" s="13"/>
      <c r="C85" s="5"/>
      <c r="D85" s="5" t="str">
        <f aca="false">IF(C85="","",IFERROR(INDEX(Clients!$B:$B,MATCH(C85,Clients!$A:$A,0)),"Check client ID"))</f>
        <v/>
      </c>
      <c r="E85" s="5"/>
      <c r="F85" s="5"/>
      <c r="G85" s="5"/>
      <c r="H85" s="15"/>
      <c r="I85" s="15"/>
      <c r="J85" s="13"/>
      <c r="K85" s="13"/>
      <c r="L85" s="5"/>
      <c r="M85" s="5"/>
    </row>
    <row r="86" customFormat="false" ht="15" hidden="false" customHeight="false" outlineLevel="0" collapsed="false">
      <c r="A86" s="5"/>
      <c r="B86" s="13"/>
      <c r="C86" s="5"/>
      <c r="D86" s="5" t="str">
        <f aca="false">IF(C86="","",IFERROR(INDEX(Clients!$B:$B,MATCH(C86,Clients!$A:$A,0)),"Check client ID"))</f>
        <v/>
      </c>
      <c r="E86" s="5"/>
      <c r="F86" s="5"/>
      <c r="G86" s="5"/>
      <c r="H86" s="15"/>
      <c r="I86" s="15"/>
      <c r="J86" s="13"/>
      <c r="K86" s="13"/>
      <c r="L86" s="5"/>
      <c r="M86" s="5"/>
    </row>
    <row r="87" customFormat="false" ht="15" hidden="false" customHeight="false" outlineLevel="0" collapsed="false">
      <c r="A87" s="5"/>
      <c r="B87" s="13"/>
      <c r="C87" s="5"/>
      <c r="D87" s="5" t="str">
        <f aca="false">IF(C87="","",IFERROR(INDEX(Clients!$B:$B,MATCH(C87,Clients!$A:$A,0)),"Check client ID"))</f>
        <v/>
      </c>
      <c r="E87" s="5"/>
      <c r="F87" s="5"/>
      <c r="G87" s="5"/>
      <c r="H87" s="15"/>
      <c r="I87" s="15"/>
      <c r="J87" s="13"/>
      <c r="K87" s="13"/>
      <c r="L87" s="5"/>
      <c r="M87" s="5"/>
    </row>
    <row r="88" customFormat="false" ht="15" hidden="false" customHeight="false" outlineLevel="0" collapsed="false">
      <c r="A88" s="5"/>
      <c r="B88" s="13"/>
      <c r="C88" s="5"/>
      <c r="D88" s="5" t="str">
        <f aca="false">IF(C88="","",IFERROR(INDEX(Clients!$B:$B,MATCH(C88,Clients!$A:$A,0)),"Check client ID"))</f>
        <v/>
      </c>
      <c r="E88" s="5"/>
      <c r="F88" s="5"/>
      <c r="G88" s="5"/>
      <c r="H88" s="15"/>
      <c r="I88" s="15"/>
      <c r="J88" s="13"/>
      <c r="K88" s="13"/>
      <c r="L88" s="5"/>
      <c r="M88" s="5"/>
    </row>
    <row r="89" customFormat="false" ht="15" hidden="false" customHeight="false" outlineLevel="0" collapsed="false">
      <c r="A89" s="5"/>
      <c r="B89" s="13"/>
      <c r="C89" s="5"/>
      <c r="D89" s="5" t="str">
        <f aca="false">IF(C89="","",IFERROR(INDEX(Clients!$B:$B,MATCH(C89,Clients!$A:$A,0)),"Check client ID"))</f>
        <v/>
      </c>
      <c r="E89" s="5"/>
      <c r="F89" s="5"/>
      <c r="G89" s="5"/>
      <c r="H89" s="15"/>
      <c r="I89" s="15"/>
      <c r="J89" s="13"/>
      <c r="K89" s="13"/>
      <c r="L89" s="5"/>
      <c r="M89" s="5"/>
    </row>
    <row r="90" customFormat="false" ht="15" hidden="false" customHeight="false" outlineLevel="0" collapsed="false">
      <c r="A90" s="5"/>
      <c r="B90" s="13"/>
      <c r="C90" s="5"/>
      <c r="D90" s="5" t="str">
        <f aca="false">IF(C90="","",IFERROR(INDEX(Clients!$B:$B,MATCH(C90,Clients!$A:$A,0)),"Check client ID"))</f>
        <v/>
      </c>
      <c r="E90" s="5"/>
      <c r="F90" s="5"/>
      <c r="G90" s="5"/>
      <c r="H90" s="15"/>
      <c r="I90" s="15"/>
      <c r="J90" s="13"/>
      <c r="K90" s="13"/>
      <c r="L90" s="5"/>
      <c r="M90" s="5"/>
    </row>
    <row r="91" customFormat="false" ht="15" hidden="false" customHeight="false" outlineLevel="0" collapsed="false">
      <c r="A91" s="5"/>
      <c r="B91" s="13"/>
      <c r="C91" s="5"/>
      <c r="D91" s="5" t="str">
        <f aca="false">IF(C91="","",IFERROR(INDEX(Clients!$B:$B,MATCH(C91,Clients!$A:$A,0)),"Check client ID"))</f>
        <v/>
      </c>
      <c r="E91" s="5"/>
      <c r="F91" s="5"/>
      <c r="G91" s="5"/>
      <c r="H91" s="15"/>
      <c r="I91" s="15"/>
      <c r="J91" s="13"/>
      <c r="K91" s="13"/>
      <c r="L91" s="5"/>
      <c r="M91" s="5"/>
    </row>
    <row r="92" customFormat="false" ht="15" hidden="false" customHeight="false" outlineLevel="0" collapsed="false">
      <c r="A92" s="5"/>
      <c r="B92" s="13"/>
      <c r="C92" s="5"/>
      <c r="D92" s="5" t="str">
        <f aca="false">IF(C92="","",IFERROR(INDEX(Clients!$B:$B,MATCH(C92,Clients!$A:$A,0)),"Check client ID"))</f>
        <v/>
      </c>
      <c r="E92" s="5"/>
      <c r="F92" s="5"/>
      <c r="G92" s="5"/>
      <c r="H92" s="15"/>
      <c r="I92" s="15"/>
      <c r="J92" s="13"/>
      <c r="K92" s="13"/>
      <c r="L92" s="5"/>
      <c r="M92" s="5"/>
    </row>
    <row r="93" customFormat="false" ht="15" hidden="false" customHeight="false" outlineLevel="0" collapsed="false">
      <c r="A93" s="5"/>
      <c r="B93" s="13"/>
      <c r="C93" s="5"/>
      <c r="D93" s="5" t="str">
        <f aca="false">IF(C93="","",IFERROR(INDEX(Clients!$B:$B,MATCH(C93,Clients!$A:$A,0)),"Check client ID"))</f>
        <v/>
      </c>
      <c r="E93" s="5"/>
      <c r="F93" s="5"/>
      <c r="G93" s="5"/>
      <c r="H93" s="15"/>
      <c r="I93" s="15"/>
      <c r="J93" s="13"/>
      <c r="K93" s="13"/>
      <c r="L93" s="5"/>
      <c r="M93" s="5"/>
    </row>
    <row r="94" customFormat="false" ht="15" hidden="false" customHeight="false" outlineLevel="0" collapsed="false">
      <c r="A94" s="5"/>
      <c r="B94" s="13"/>
      <c r="C94" s="5"/>
      <c r="D94" s="5" t="str">
        <f aca="false">IF(C94="","",IFERROR(INDEX(Clients!$B:$B,MATCH(C94,Clients!$A:$A,0)),"Check client ID"))</f>
        <v/>
      </c>
      <c r="E94" s="5"/>
      <c r="F94" s="5"/>
      <c r="G94" s="5"/>
      <c r="H94" s="15"/>
      <c r="I94" s="15"/>
      <c r="J94" s="13"/>
      <c r="K94" s="13"/>
      <c r="L94" s="5"/>
      <c r="M94" s="5"/>
    </row>
    <row r="95" customFormat="false" ht="15" hidden="false" customHeight="false" outlineLevel="0" collapsed="false">
      <c r="A95" s="5"/>
      <c r="B95" s="13"/>
      <c r="C95" s="5"/>
      <c r="D95" s="5" t="str">
        <f aca="false">IF(C95="","",IFERROR(INDEX(Clients!$B:$B,MATCH(C95,Clients!$A:$A,0)),"Check client ID"))</f>
        <v/>
      </c>
      <c r="E95" s="5"/>
      <c r="F95" s="5"/>
      <c r="G95" s="5"/>
      <c r="H95" s="15"/>
      <c r="I95" s="15"/>
      <c r="J95" s="13"/>
      <c r="K95" s="13"/>
      <c r="L95" s="5"/>
      <c r="M95" s="5"/>
    </row>
    <row r="96" customFormat="false" ht="15" hidden="false" customHeight="false" outlineLevel="0" collapsed="false">
      <c r="A96" s="5"/>
      <c r="B96" s="13"/>
      <c r="C96" s="5"/>
      <c r="D96" s="5" t="str">
        <f aca="false">IF(C96="","",IFERROR(INDEX(Clients!$B:$B,MATCH(C96,Clients!$A:$A,0)),"Check client ID"))</f>
        <v/>
      </c>
      <c r="E96" s="5"/>
      <c r="F96" s="5"/>
      <c r="G96" s="5"/>
      <c r="H96" s="15"/>
      <c r="I96" s="15"/>
      <c r="J96" s="13"/>
      <c r="K96" s="13"/>
      <c r="L96" s="5"/>
      <c r="M96" s="5"/>
    </row>
    <row r="97" customFormat="false" ht="15" hidden="false" customHeight="false" outlineLevel="0" collapsed="false">
      <c r="A97" s="5"/>
      <c r="B97" s="13"/>
      <c r="C97" s="5"/>
      <c r="D97" s="5" t="str">
        <f aca="false">IF(C97="","",IFERROR(INDEX(Clients!$B:$B,MATCH(C97,Clients!$A:$A,0)),"Check client ID"))</f>
        <v/>
      </c>
      <c r="E97" s="5"/>
      <c r="F97" s="5"/>
      <c r="G97" s="5"/>
      <c r="H97" s="15"/>
      <c r="I97" s="15"/>
      <c r="J97" s="13"/>
      <c r="K97" s="13"/>
      <c r="L97" s="5"/>
      <c r="M97" s="5"/>
    </row>
    <row r="98" customFormat="false" ht="15" hidden="false" customHeight="false" outlineLevel="0" collapsed="false">
      <c r="A98" s="5"/>
      <c r="B98" s="13"/>
      <c r="C98" s="5"/>
      <c r="D98" s="5" t="str">
        <f aca="false">IF(C98="","",IFERROR(INDEX(Clients!$B:$B,MATCH(C98,Clients!$A:$A,0)),"Check client ID"))</f>
        <v/>
      </c>
      <c r="E98" s="5"/>
      <c r="F98" s="5"/>
      <c r="G98" s="5"/>
      <c r="H98" s="15"/>
      <c r="I98" s="15"/>
      <c r="J98" s="13"/>
      <c r="K98" s="13"/>
      <c r="L98" s="5"/>
      <c r="M98" s="5"/>
    </row>
    <row r="99" customFormat="false" ht="15" hidden="false" customHeight="false" outlineLevel="0" collapsed="false">
      <c r="A99" s="5"/>
      <c r="B99" s="13"/>
      <c r="C99" s="5"/>
      <c r="D99" s="5" t="str">
        <f aca="false">IF(C99="","",IFERROR(INDEX(Clients!$B:$B,MATCH(C99,Clients!$A:$A,0)),"Check client ID"))</f>
        <v/>
      </c>
      <c r="E99" s="5"/>
      <c r="F99" s="5"/>
      <c r="G99" s="5"/>
      <c r="H99" s="15"/>
      <c r="I99" s="15"/>
      <c r="J99" s="13"/>
      <c r="K99" s="13"/>
      <c r="L99" s="5"/>
      <c r="M99" s="5"/>
    </row>
    <row r="100" customFormat="false" ht="15" hidden="false" customHeight="false" outlineLevel="0" collapsed="false">
      <c r="A100" s="5"/>
      <c r="B100" s="13"/>
      <c r="C100" s="5"/>
      <c r="D100" s="5" t="str">
        <f aca="false">IF(C100="","",IFERROR(INDEX(Clients!$B:$B,MATCH(C100,Clients!$A:$A,0)),"Check client ID"))</f>
        <v/>
      </c>
      <c r="E100" s="5"/>
      <c r="F100" s="5"/>
      <c r="G100" s="5"/>
      <c r="H100" s="15"/>
      <c r="I100" s="15"/>
      <c r="J100" s="13"/>
      <c r="K100" s="13"/>
      <c r="L100" s="5"/>
      <c r="M100" s="5"/>
    </row>
    <row r="101" customFormat="false" ht="15" hidden="false" customHeight="false" outlineLevel="0" collapsed="false">
      <c r="A101" s="5"/>
      <c r="B101" s="13"/>
      <c r="C101" s="5"/>
      <c r="D101" s="5" t="str">
        <f aca="false">IF(C101="","",IFERROR(INDEX(Clients!$B:$B,MATCH(C101,Clients!$A:$A,0)),"Check client ID"))</f>
        <v/>
      </c>
      <c r="E101" s="5"/>
      <c r="F101" s="5"/>
      <c r="G101" s="5"/>
      <c r="H101" s="15"/>
      <c r="I101" s="15"/>
      <c r="J101" s="13"/>
      <c r="K101" s="13"/>
      <c r="L101" s="5"/>
      <c r="M101" s="5"/>
    </row>
    <row r="102" customFormat="false" ht="15" hidden="false" customHeight="false" outlineLevel="0" collapsed="false">
      <c r="A102" s="5"/>
      <c r="B102" s="13"/>
      <c r="C102" s="5"/>
      <c r="D102" s="5" t="str">
        <f aca="false">IF(C102="","",IFERROR(INDEX(Clients!$B:$B,MATCH(C102,Clients!$A:$A,0)),"Check client ID"))</f>
        <v/>
      </c>
      <c r="E102" s="5"/>
      <c r="F102" s="5"/>
      <c r="G102" s="5"/>
      <c r="H102" s="15"/>
      <c r="I102" s="15"/>
      <c r="J102" s="13"/>
      <c r="K102" s="13"/>
      <c r="L102" s="5"/>
      <c r="M102" s="5"/>
    </row>
    <row r="103" customFormat="false" ht="15" hidden="false" customHeight="false" outlineLevel="0" collapsed="false">
      <c r="A103" s="5"/>
      <c r="B103" s="13"/>
      <c r="C103" s="5"/>
      <c r="D103" s="5" t="str">
        <f aca="false">IF(C103="","",IFERROR(INDEX(Clients!$B:$B,MATCH(C103,Clients!$A:$A,0)),"Check client ID"))</f>
        <v/>
      </c>
      <c r="E103" s="5"/>
      <c r="F103" s="5"/>
      <c r="G103" s="5"/>
      <c r="H103" s="15"/>
      <c r="I103" s="15"/>
      <c r="J103" s="13"/>
      <c r="K103" s="13"/>
      <c r="L103" s="5"/>
      <c r="M103" s="5"/>
    </row>
    <row r="104" customFormat="false" ht="15" hidden="false" customHeight="false" outlineLevel="0" collapsed="false">
      <c r="A104" s="5"/>
      <c r="B104" s="13"/>
      <c r="C104" s="5"/>
      <c r="D104" s="5" t="str">
        <f aca="false">IF(C104="","",IFERROR(INDEX(Clients!$B:$B,MATCH(C104,Clients!$A:$A,0)),"Check client ID"))</f>
        <v/>
      </c>
      <c r="E104" s="5"/>
      <c r="F104" s="5"/>
      <c r="G104" s="5"/>
      <c r="H104" s="15"/>
      <c r="I104" s="15"/>
      <c r="J104" s="13"/>
      <c r="K104" s="13"/>
      <c r="L104" s="5"/>
      <c r="M104" s="5"/>
    </row>
    <row r="105" customFormat="false" ht="15" hidden="false" customHeight="false" outlineLevel="0" collapsed="false">
      <c r="A105" s="5"/>
      <c r="B105" s="13"/>
      <c r="C105" s="5"/>
      <c r="D105" s="5" t="str">
        <f aca="false">IF(C105="","",IFERROR(INDEX(Clients!$B:$B,MATCH(C105,Clients!$A:$A,0)),"Check client ID"))</f>
        <v/>
      </c>
      <c r="E105" s="5"/>
      <c r="F105" s="5"/>
      <c r="G105" s="5"/>
      <c r="H105" s="15"/>
      <c r="I105" s="15"/>
      <c r="J105" s="13"/>
      <c r="K105" s="13"/>
      <c r="L105" s="5"/>
      <c r="M105" s="5"/>
    </row>
    <row r="106" customFormat="false" ht="15" hidden="false" customHeight="false" outlineLevel="0" collapsed="false">
      <c r="A106" s="5"/>
      <c r="B106" s="13"/>
      <c r="C106" s="5"/>
      <c r="D106" s="5" t="str">
        <f aca="false">IF(C106="","",IFERROR(INDEX(Clients!$B:$B,MATCH(C106,Clients!$A:$A,0)),"Check client ID"))</f>
        <v/>
      </c>
      <c r="E106" s="5"/>
      <c r="F106" s="5"/>
      <c r="G106" s="5"/>
      <c r="H106" s="15"/>
      <c r="I106" s="15"/>
      <c r="J106" s="13"/>
      <c r="K106" s="13"/>
      <c r="L106" s="5"/>
      <c r="M106" s="5"/>
    </row>
    <row r="107" customFormat="false" ht="15" hidden="false" customHeight="false" outlineLevel="0" collapsed="false">
      <c r="A107" s="5"/>
      <c r="B107" s="13"/>
      <c r="C107" s="5"/>
      <c r="D107" s="5" t="str">
        <f aca="false">IF(C107="","",IFERROR(INDEX(Clients!$B:$B,MATCH(C107,Clients!$A:$A,0)),"Check client ID"))</f>
        <v/>
      </c>
      <c r="E107" s="5"/>
      <c r="F107" s="5"/>
      <c r="G107" s="5"/>
      <c r="H107" s="15"/>
      <c r="I107" s="15"/>
      <c r="J107" s="13"/>
      <c r="K107" s="13"/>
      <c r="L107" s="5"/>
      <c r="M107" s="5"/>
    </row>
    <row r="108" customFormat="false" ht="15" hidden="false" customHeight="false" outlineLevel="0" collapsed="false">
      <c r="A108" s="5"/>
      <c r="B108" s="13"/>
      <c r="C108" s="5"/>
      <c r="D108" s="5" t="str">
        <f aca="false">IF(C108="","",IFERROR(INDEX(Clients!$B:$B,MATCH(C108,Clients!$A:$A,0)),"Check client ID"))</f>
        <v/>
      </c>
      <c r="E108" s="5"/>
      <c r="F108" s="5"/>
      <c r="G108" s="5"/>
      <c r="H108" s="15"/>
      <c r="I108" s="15"/>
      <c r="J108" s="13"/>
      <c r="K108" s="13"/>
      <c r="L108" s="5"/>
      <c r="M108" s="5"/>
    </row>
    <row r="109" customFormat="false" ht="15" hidden="false" customHeight="false" outlineLevel="0" collapsed="false">
      <c r="A109" s="5"/>
      <c r="B109" s="13"/>
      <c r="C109" s="5"/>
      <c r="D109" s="5" t="str">
        <f aca="false">IF(C109="","",IFERROR(INDEX(Clients!$B:$B,MATCH(C109,Clients!$A:$A,0)),"Check client ID"))</f>
        <v/>
      </c>
      <c r="E109" s="5"/>
      <c r="F109" s="5"/>
      <c r="G109" s="5"/>
      <c r="H109" s="15"/>
      <c r="I109" s="15"/>
      <c r="J109" s="13"/>
      <c r="K109" s="13"/>
      <c r="L109" s="5"/>
      <c r="M109" s="5"/>
    </row>
    <row r="110" customFormat="false" ht="15" hidden="false" customHeight="false" outlineLevel="0" collapsed="false">
      <c r="A110" s="5"/>
      <c r="B110" s="13"/>
      <c r="C110" s="5"/>
      <c r="D110" s="5" t="str">
        <f aca="false">IF(C110="","",IFERROR(INDEX(Clients!$B:$B,MATCH(C110,Clients!$A:$A,0)),"Check client ID"))</f>
        <v/>
      </c>
      <c r="E110" s="5"/>
      <c r="F110" s="5"/>
      <c r="G110" s="5"/>
      <c r="H110" s="15"/>
      <c r="I110" s="15"/>
      <c r="J110" s="13"/>
      <c r="K110" s="13"/>
      <c r="L110" s="5"/>
      <c r="M110" s="5"/>
    </row>
    <row r="111" customFormat="false" ht="15" hidden="false" customHeight="false" outlineLevel="0" collapsed="false">
      <c r="A111" s="5"/>
      <c r="B111" s="13"/>
      <c r="C111" s="5"/>
      <c r="D111" s="5" t="str">
        <f aca="false">IF(C111="","",IFERROR(INDEX(Clients!$B:$B,MATCH(C111,Clients!$A:$A,0)),"Check client ID"))</f>
        <v/>
      </c>
      <c r="E111" s="5"/>
      <c r="F111" s="5"/>
      <c r="G111" s="5"/>
      <c r="H111" s="15"/>
      <c r="I111" s="15"/>
      <c r="J111" s="13"/>
      <c r="K111" s="13"/>
      <c r="L111" s="5"/>
      <c r="M111" s="5"/>
    </row>
    <row r="112" customFormat="false" ht="15" hidden="false" customHeight="false" outlineLevel="0" collapsed="false">
      <c r="A112" s="5"/>
      <c r="B112" s="13"/>
      <c r="C112" s="5"/>
      <c r="D112" s="5" t="str">
        <f aca="false">IF(C112="","",IFERROR(INDEX(Clients!$B:$B,MATCH(C112,Clients!$A:$A,0)),"Check client ID"))</f>
        <v/>
      </c>
      <c r="E112" s="5"/>
      <c r="F112" s="5"/>
      <c r="G112" s="5"/>
      <c r="H112" s="15"/>
      <c r="I112" s="15"/>
      <c r="J112" s="13"/>
      <c r="K112" s="13"/>
      <c r="L112" s="5"/>
      <c r="M112" s="5"/>
    </row>
    <row r="113" customFormat="false" ht="15" hidden="false" customHeight="false" outlineLevel="0" collapsed="false">
      <c r="A113" s="5"/>
      <c r="B113" s="13"/>
      <c r="C113" s="5"/>
      <c r="D113" s="5" t="str">
        <f aca="false">IF(C113="","",IFERROR(INDEX(Clients!$B:$B,MATCH(C113,Clients!$A:$A,0)),"Check client ID"))</f>
        <v/>
      </c>
      <c r="E113" s="5"/>
      <c r="F113" s="5"/>
      <c r="G113" s="5"/>
      <c r="H113" s="15"/>
      <c r="I113" s="15"/>
      <c r="J113" s="13"/>
      <c r="K113" s="13"/>
      <c r="L113" s="5"/>
      <c r="M113" s="5"/>
    </row>
    <row r="114" customFormat="false" ht="15" hidden="false" customHeight="false" outlineLevel="0" collapsed="false">
      <c r="A114" s="5"/>
      <c r="B114" s="13"/>
      <c r="C114" s="5"/>
      <c r="D114" s="5" t="str">
        <f aca="false">IF(C114="","",IFERROR(INDEX(Clients!$B:$B,MATCH(C114,Clients!$A:$A,0)),"Check client ID"))</f>
        <v/>
      </c>
      <c r="E114" s="5"/>
      <c r="F114" s="5"/>
      <c r="G114" s="5"/>
      <c r="H114" s="15"/>
      <c r="I114" s="15"/>
      <c r="J114" s="13"/>
      <c r="K114" s="13"/>
      <c r="L114" s="5"/>
      <c r="M114" s="5"/>
    </row>
    <row r="115" customFormat="false" ht="15" hidden="false" customHeight="false" outlineLevel="0" collapsed="false">
      <c r="A115" s="5"/>
      <c r="B115" s="13"/>
      <c r="C115" s="5"/>
      <c r="D115" s="5" t="str">
        <f aca="false">IF(C115="","",IFERROR(INDEX(Clients!$B:$B,MATCH(C115,Clients!$A:$A,0)),"Check client ID"))</f>
        <v/>
      </c>
      <c r="E115" s="5"/>
      <c r="F115" s="5"/>
      <c r="G115" s="5"/>
      <c r="H115" s="15"/>
      <c r="I115" s="15"/>
      <c r="J115" s="13"/>
      <c r="K115" s="13"/>
      <c r="L115" s="5"/>
      <c r="M115" s="5"/>
    </row>
    <row r="116" customFormat="false" ht="15" hidden="false" customHeight="false" outlineLevel="0" collapsed="false">
      <c r="A116" s="5"/>
      <c r="B116" s="13"/>
      <c r="C116" s="5"/>
      <c r="D116" s="5" t="str">
        <f aca="false">IF(C116="","",IFERROR(INDEX(Clients!$B:$B,MATCH(C116,Clients!$A:$A,0)),"Check client ID"))</f>
        <v/>
      </c>
      <c r="E116" s="5"/>
      <c r="F116" s="5"/>
      <c r="G116" s="5"/>
      <c r="H116" s="15"/>
      <c r="I116" s="15"/>
      <c r="J116" s="13"/>
      <c r="K116" s="13"/>
      <c r="L116" s="5"/>
      <c r="M116" s="5"/>
    </row>
    <row r="117" customFormat="false" ht="15" hidden="false" customHeight="false" outlineLevel="0" collapsed="false">
      <c r="A117" s="5"/>
      <c r="B117" s="13"/>
      <c r="C117" s="5"/>
      <c r="D117" s="5" t="str">
        <f aca="false">IF(C117="","",IFERROR(INDEX(Clients!$B:$B,MATCH(C117,Clients!$A:$A,0)),"Check client ID"))</f>
        <v/>
      </c>
      <c r="E117" s="5"/>
      <c r="F117" s="5"/>
      <c r="G117" s="5"/>
      <c r="H117" s="15"/>
      <c r="I117" s="15"/>
      <c r="J117" s="13"/>
      <c r="K117" s="13"/>
      <c r="L117" s="5"/>
      <c r="M117" s="5"/>
    </row>
    <row r="118" customFormat="false" ht="15" hidden="false" customHeight="false" outlineLevel="0" collapsed="false">
      <c r="A118" s="5"/>
      <c r="B118" s="13"/>
      <c r="C118" s="5"/>
      <c r="D118" s="5" t="str">
        <f aca="false">IF(C118="","",IFERROR(INDEX(Clients!$B:$B,MATCH(C118,Clients!$A:$A,0)),"Check client ID"))</f>
        <v/>
      </c>
      <c r="E118" s="5"/>
      <c r="F118" s="5"/>
      <c r="G118" s="5"/>
      <c r="H118" s="15"/>
      <c r="I118" s="15"/>
      <c r="J118" s="13"/>
      <c r="K118" s="13"/>
      <c r="L118" s="5"/>
      <c r="M118" s="5"/>
    </row>
    <row r="119" customFormat="false" ht="15" hidden="false" customHeight="false" outlineLevel="0" collapsed="false">
      <c r="A119" s="5"/>
      <c r="B119" s="13"/>
      <c r="C119" s="5"/>
      <c r="D119" s="5" t="str">
        <f aca="false">IF(C119="","",IFERROR(INDEX(Clients!$B:$B,MATCH(C119,Clients!$A:$A,0)),"Check client ID"))</f>
        <v/>
      </c>
      <c r="E119" s="5"/>
      <c r="F119" s="5"/>
      <c r="G119" s="5"/>
      <c r="H119" s="15"/>
      <c r="I119" s="15"/>
      <c r="J119" s="13"/>
      <c r="K119" s="13"/>
      <c r="L119" s="5"/>
      <c r="M119" s="5"/>
    </row>
    <row r="120" customFormat="false" ht="15" hidden="false" customHeight="false" outlineLevel="0" collapsed="false">
      <c r="A120" s="5"/>
      <c r="B120" s="13"/>
      <c r="C120" s="5"/>
      <c r="D120" s="5" t="str">
        <f aca="false">IF(C120="","",IFERROR(INDEX(Clients!$B:$B,MATCH(C120,Clients!$A:$A,0)),"Check client ID"))</f>
        <v/>
      </c>
      <c r="E120" s="5"/>
      <c r="F120" s="5"/>
      <c r="G120" s="5"/>
      <c r="H120" s="15"/>
      <c r="I120" s="15"/>
      <c r="J120" s="13"/>
      <c r="K120" s="13"/>
      <c r="L120" s="5"/>
      <c r="M120" s="5"/>
    </row>
    <row r="121" customFormat="false" ht="15" hidden="false" customHeight="false" outlineLevel="0" collapsed="false">
      <c r="A121" s="5"/>
      <c r="B121" s="13"/>
      <c r="C121" s="5"/>
      <c r="D121" s="5" t="str">
        <f aca="false">IF(C121="","",IFERROR(INDEX(Clients!$B:$B,MATCH(C121,Clients!$A:$A,0)),"Check client ID"))</f>
        <v/>
      </c>
      <c r="E121" s="5"/>
      <c r="F121" s="5"/>
      <c r="G121" s="5"/>
      <c r="H121" s="15"/>
      <c r="I121" s="15"/>
      <c r="J121" s="13"/>
      <c r="K121" s="13"/>
      <c r="L121" s="5"/>
      <c r="M121" s="5"/>
    </row>
    <row r="122" customFormat="false" ht="15" hidden="false" customHeight="false" outlineLevel="0" collapsed="false">
      <c r="A122" s="5"/>
      <c r="B122" s="13"/>
      <c r="C122" s="5"/>
      <c r="D122" s="5" t="str">
        <f aca="false">IF(C122="","",IFERROR(INDEX(Clients!$B:$B,MATCH(C122,Clients!$A:$A,0)),"Check client ID"))</f>
        <v/>
      </c>
      <c r="E122" s="5"/>
      <c r="F122" s="5"/>
      <c r="G122" s="5"/>
      <c r="H122" s="15"/>
      <c r="I122" s="15"/>
      <c r="J122" s="13"/>
      <c r="K122" s="13"/>
      <c r="L122" s="5"/>
      <c r="M122" s="5"/>
    </row>
    <row r="123" customFormat="false" ht="15" hidden="false" customHeight="false" outlineLevel="0" collapsed="false">
      <c r="A123" s="5"/>
      <c r="B123" s="13"/>
      <c r="C123" s="5"/>
      <c r="D123" s="5" t="str">
        <f aca="false">IF(C123="","",IFERROR(INDEX(Clients!$B:$B,MATCH(C123,Clients!$A:$A,0)),"Check client ID"))</f>
        <v/>
      </c>
      <c r="E123" s="5"/>
      <c r="F123" s="5"/>
      <c r="G123" s="5"/>
      <c r="H123" s="15"/>
      <c r="I123" s="15"/>
      <c r="J123" s="13"/>
      <c r="K123" s="13"/>
      <c r="L123" s="5"/>
      <c r="M123" s="5"/>
    </row>
    <row r="124" customFormat="false" ht="15" hidden="false" customHeight="false" outlineLevel="0" collapsed="false">
      <c r="A124" s="5"/>
      <c r="B124" s="13"/>
      <c r="C124" s="5"/>
      <c r="D124" s="5" t="str">
        <f aca="false">IF(C124="","",IFERROR(INDEX(Clients!$B:$B,MATCH(C124,Clients!$A:$A,0)),"Check client ID"))</f>
        <v/>
      </c>
      <c r="E124" s="5"/>
      <c r="F124" s="5"/>
      <c r="G124" s="5"/>
      <c r="H124" s="15"/>
      <c r="I124" s="15"/>
      <c r="J124" s="13"/>
      <c r="K124" s="13"/>
      <c r="L124" s="5"/>
      <c r="M124" s="5"/>
    </row>
    <row r="125" customFormat="false" ht="15" hidden="false" customHeight="false" outlineLevel="0" collapsed="false">
      <c r="A125" s="5"/>
      <c r="B125" s="13"/>
      <c r="C125" s="5"/>
      <c r="D125" s="5" t="str">
        <f aca="false">IF(C125="","",IFERROR(INDEX(Clients!$B:$B,MATCH(C125,Clients!$A:$A,0)),"Check client ID"))</f>
        <v/>
      </c>
      <c r="E125" s="5"/>
      <c r="F125" s="5"/>
      <c r="G125" s="5"/>
      <c r="H125" s="15"/>
      <c r="I125" s="15"/>
      <c r="J125" s="13"/>
      <c r="K125" s="13"/>
      <c r="L125" s="5"/>
      <c r="M125" s="5"/>
    </row>
    <row r="126" customFormat="false" ht="15" hidden="false" customHeight="false" outlineLevel="0" collapsed="false">
      <c r="A126" s="5"/>
      <c r="B126" s="13"/>
      <c r="C126" s="5"/>
      <c r="D126" s="5" t="str">
        <f aca="false">IF(C126="","",IFERROR(INDEX(Clients!$B:$B,MATCH(C126,Clients!$A:$A,0)),"Check client ID"))</f>
        <v/>
      </c>
      <c r="E126" s="5"/>
      <c r="F126" s="5"/>
      <c r="G126" s="5"/>
      <c r="H126" s="15"/>
      <c r="I126" s="15"/>
      <c r="J126" s="13"/>
      <c r="K126" s="13"/>
      <c r="L126" s="5"/>
      <c r="M126" s="5"/>
    </row>
    <row r="127" customFormat="false" ht="15" hidden="false" customHeight="false" outlineLevel="0" collapsed="false">
      <c r="A127" s="5"/>
      <c r="B127" s="13"/>
      <c r="C127" s="5"/>
      <c r="D127" s="5" t="str">
        <f aca="false">IF(C127="","",IFERROR(INDEX(Clients!$B:$B,MATCH(C127,Clients!$A:$A,0)),"Check client ID"))</f>
        <v/>
      </c>
      <c r="E127" s="5"/>
      <c r="F127" s="5"/>
      <c r="G127" s="5"/>
      <c r="H127" s="15"/>
      <c r="I127" s="15"/>
      <c r="J127" s="13"/>
      <c r="K127" s="13"/>
      <c r="L127" s="5"/>
      <c r="M127" s="5"/>
    </row>
    <row r="128" customFormat="false" ht="15" hidden="false" customHeight="false" outlineLevel="0" collapsed="false">
      <c r="A128" s="5"/>
      <c r="B128" s="13"/>
      <c r="C128" s="5"/>
      <c r="D128" s="5" t="str">
        <f aca="false">IF(C128="","",IFERROR(INDEX(Clients!$B:$B,MATCH(C128,Clients!$A:$A,0)),"Check client ID"))</f>
        <v/>
      </c>
      <c r="E128" s="5"/>
      <c r="F128" s="5"/>
      <c r="G128" s="5"/>
      <c r="H128" s="15"/>
      <c r="I128" s="15"/>
      <c r="J128" s="13"/>
      <c r="K128" s="13"/>
      <c r="L128" s="5"/>
      <c r="M128" s="5"/>
    </row>
    <row r="129" customFormat="false" ht="15" hidden="false" customHeight="false" outlineLevel="0" collapsed="false">
      <c r="A129" s="5"/>
      <c r="B129" s="13"/>
      <c r="C129" s="5"/>
      <c r="D129" s="5" t="str">
        <f aca="false">IF(C129="","",IFERROR(INDEX(Clients!$B:$B,MATCH(C129,Clients!$A:$A,0)),"Check client ID"))</f>
        <v/>
      </c>
      <c r="E129" s="5"/>
      <c r="F129" s="5"/>
      <c r="G129" s="5"/>
      <c r="H129" s="15"/>
      <c r="I129" s="15"/>
      <c r="J129" s="13"/>
      <c r="K129" s="13"/>
      <c r="L129" s="5"/>
      <c r="M129" s="5"/>
    </row>
    <row r="130" customFormat="false" ht="15" hidden="false" customHeight="false" outlineLevel="0" collapsed="false">
      <c r="A130" s="5"/>
      <c r="B130" s="13"/>
      <c r="C130" s="5"/>
      <c r="D130" s="5" t="str">
        <f aca="false">IF(C130="","",IFERROR(INDEX(Clients!$B:$B,MATCH(C130,Clients!$A:$A,0)),"Check client ID"))</f>
        <v/>
      </c>
      <c r="E130" s="5"/>
      <c r="F130" s="5"/>
      <c r="G130" s="5"/>
      <c r="H130" s="15"/>
      <c r="I130" s="15"/>
      <c r="J130" s="13"/>
      <c r="K130" s="13"/>
      <c r="L130" s="5"/>
      <c r="M130" s="5"/>
    </row>
    <row r="131" customFormat="false" ht="15" hidden="false" customHeight="false" outlineLevel="0" collapsed="false">
      <c r="A131" s="5"/>
      <c r="B131" s="13"/>
      <c r="C131" s="5"/>
      <c r="D131" s="5" t="str">
        <f aca="false">IF(C131="","",IFERROR(INDEX(Clients!$B:$B,MATCH(C131,Clients!$A:$A,0)),"Check client ID"))</f>
        <v/>
      </c>
      <c r="E131" s="5"/>
      <c r="F131" s="5"/>
      <c r="G131" s="5"/>
      <c r="H131" s="15"/>
      <c r="I131" s="15"/>
      <c r="J131" s="13"/>
      <c r="K131" s="13"/>
      <c r="L131" s="5"/>
      <c r="M131" s="5"/>
    </row>
    <row r="132" customFormat="false" ht="15" hidden="false" customHeight="false" outlineLevel="0" collapsed="false">
      <c r="A132" s="5"/>
      <c r="B132" s="13"/>
      <c r="C132" s="5"/>
      <c r="D132" s="5" t="str">
        <f aca="false">IF(C132="","",IFERROR(INDEX(Clients!$B:$B,MATCH(C132,Clients!$A:$A,0)),"Check client ID"))</f>
        <v/>
      </c>
      <c r="E132" s="5"/>
      <c r="F132" s="5"/>
      <c r="G132" s="5"/>
      <c r="H132" s="15"/>
      <c r="I132" s="15"/>
      <c r="J132" s="13"/>
      <c r="K132" s="13"/>
      <c r="L132" s="5"/>
      <c r="M132" s="5"/>
    </row>
    <row r="133" customFormat="false" ht="15" hidden="false" customHeight="false" outlineLevel="0" collapsed="false">
      <c r="A133" s="5"/>
      <c r="B133" s="13"/>
      <c r="C133" s="5"/>
      <c r="D133" s="5" t="str">
        <f aca="false">IF(C133="","",IFERROR(INDEX(Clients!$B:$B,MATCH(C133,Clients!$A:$A,0)),"Check client ID"))</f>
        <v/>
      </c>
      <c r="E133" s="5"/>
      <c r="F133" s="5"/>
      <c r="G133" s="5"/>
      <c r="H133" s="15"/>
      <c r="I133" s="15"/>
      <c r="J133" s="13"/>
      <c r="K133" s="13"/>
      <c r="L133" s="5"/>
      <c r="M133" s="5"/>
    </row>
    <row r="134" customFormat="false" ht="15" hidden="false" customHeight="false" outlineLevel="0" collapsed="false">
      <c r="A134" s="5"/>
      <c r="B134" s="13"/>
      <c r="C134" s="5"/>
      <c r="D134" s="5" t="str">
        <f aca="false">IF(C134="","",IFERROR(INDEX(Clients!$B:$B,MATCH(C134,Clients!$A:$A,0)),"Check client ID"))</f>
        <v/>
      </c>
      <c r="E134" s="5"/>
      <c r="F134" s="5"/>
      <c r="G134" s="5"/>
      <c r="H134" s="15"/>
      <c r="I134" s="15"/>
      <c r="J134" s="13"/>
      <c r="K134" s="13"/>
      <c r="L134" s="5"/>
      <c r="M134" s="5"/>
    </row>
    <row r="135" customFormat="false" ht="15" hidden="false" customHeight="false" outlineLevel="0" collapsed="false">
      <c r="A135" s="5"/>
      <c r="B135" s="13"/>
      <c r="C135" s="5"/>
      <c r="D135" s="5" t="str">
        <f aca="false">IF(C135="","",IFERROR(INDEX(Clients!$B:$B,MATCH(C135,Clients!$A:$A,0)),"Check client ID"))</f>
        <v/>
      </c>
      <c r="E135" s="5"/>
      <c r="F135" s="5"/>
      <c r="G135" s="5"/>
      <c r="H135" s="15"/>
      <c r="I135" s="15"/>
      <c r="J135" s="13"/>
      <c r="K135" s="13"/>
      <c r="L135" s="5"/>
      <c r="M135" s="5"/>
    </row>
    <row r="136" customFormat="false" ht="15" hidden="false" customHeight="false" outlineLevel="0" collapsed="false">
      <c r="A136" s="5"/>
      <c r="B136" s="13"/>
      <c r="C136" s="5"/>
      <c r="D136" s="5" t="str">
        <f aca="false">IF(C136="","",IFERROR(INDEX(Clients!$B:$B,MATCH(C136,Clients!$A:$A,0)),"Check client ID"))</f>
        <v/>
      </c>
      <c r="E136" s="5"/>
      <c r="F136" s="5"/>
      <c r="G136" s="5"/>
      <c r="H136" s="15"/>
      <c r="I136" s="15"/>
      <c r="J136" s="13"/>
      <c r="K136" s="13"/>
      <c r="L136" s="5"/>
      <c r="M136" s="5"/>
    </row>
    <row r="137" customFormat="false" ht="15" hidden="false" customHeight="false" outlineLevel="0" collapsed="false">
      <c r="A137" s="5"/>
      <c r="B137" s="13"/>
      <c r="C137" s="5"/>
      <c r="D137" s="5" t="str">
        <f aca="false">IF(C137="","",IFERROR(INDEX(Clients!$B:$B,MATCH(C137,Clients!$A:$A,0)),"Check client ID"))</f>
        <v/>
      </c>
      <c r="E137" s="5"/>
      <c r="F137" s="5"/>
      <c r="G137" s="5"/>
      <c r="H137" s="15"/>
      <c r="I137" s="15"/>
      <c r="J137" s="13"/>
      <c r="K137" s="13"/>
      <c r="L137" s="5"/>
      <c r="M137" s="5"/>
    </row>
    <row r="138" customFormat="false" ht="15" hidden="false" customHeight="false" outlineLevel="0" collapsed="false">
      <c r="A138" s="5"/>
      <c r="B138" s="13"/>
      <c r="C138" s="5"/>
      <c r="D138" s="5" t="str">
        <f aca="false">IF(C138="","",IFERROR(INDEX(Clients!$B:$B,MATCH(C138,Clients!$A:$A,0)),"Check client ID"))</f>
        <v/>
      </c>
      <c r="E138" s="5"/>
      <c r="F138" s="5"/>
      <c r="G138" s="5"/>
      <c r="H138" s="15"/>
      <c r="I138" s="15"/>
      <c r="J138" s="13"/>
      <c r="K138" s="13"/>
      <c r="L138" s="5"/>
      <c r="M138" s="5"/>
    </row>
    <row r="139" customFormat="false" ht="15" hidden="false" customHeight="false" outlineLevel="0" collapsed="false">
      <c r="A139" s="5"/>
      <c r="B139" s="13"/>
      <c r="C139" s="5"/>
      <c r="D139" s="5" t="str">
        <f aca="false">IF(C139="","",IFERROR(INDEX(Clients!$B:$B,MATCH(C139,Clients!$A:$A,0)),"Check client ID"))</f>
        <v/>
      </c>
      <c r="E139" s="5"/>
      <c r="F139" s="5"/>
      <c r="G139" s="5"/>
      <c r="H139" s="15"/>
      <c r="I139" s="15"/>
      <c r="J139" s="13"/>
      <c r="K139" s="13"/>
      <c r="L139" s="5"/>
      <c r="M139" s="5"/>
    </row>
    <row r="140" customFormat="false" ht="15" hidden="false" customHeight="false" outlineLevel="0" collapsed="false">
      <c r="A140" s="5"/>
      <c r="B140" s="13"/>
      <c r="C140" s="5"/>
      <c r="D140" s="5" t="str">
        <f aca="false">IF(C140="","",IFERROR(INDEX(Clients!$B:$B,MATCH(C140,Clients!$A:$A,0)),"Check client ID"))</f>
        <v/>
      </c>
      <c r="E140" s="5"/>
      <c r="F140" s="5"/>
      <c r="G140" s="5"/>
      <c r="H140" s="15"/>
      <c r="I140" s="15"/>
      <c r="J140" s="13"/>
      <c r="K140" s="13"/>
      <c r="L140" s="5"/>
      <c r="M140" s="5"/>
    </row>
    <row r="141" customFormat="false" ht="15" hidden="false" customHeight="false" outlineLevel="0" collapsed="false">
      <c r="A141" s="5"/>
      <c r="B141" s="13"/>
      <c r="C141" s="5"/>
      <c r="D141" s="5" t="str">
        <f aca="false">IF(C141="","",IFERROR(INDEX(Clients!$B:$B,MATCH(C141,Clients!$A:$A,0)),"Check client ID"))</f>
        <v/>
      </c>
      <c r="E141" s="5"/>
      <c r="F141" s="5"/>
      <c r="G141" s="5"/>
      <c r="H141" s="15"/>
      <c r="I141" s="15"/>
      <c r="J141" s="13"/>
      <c r="K141" s="13"/>
      <c r="L141" s="5"/>
      <c r="M141" s="5"/>
    </row>
    <row r="142" customFormat="false" ht="15" hidden="false" customHeight="false" outlineLevel="0" collapsed="false">
      <c r="A142" s="5"/>
      <c r="B142" s="13"/>
      <c r="C142" s="5"/>
      <c r="D142" s="5" t="str">
        <f aca="false">IF(C142="","",IFERROR(INDEX(Clients!$B:$B,MATCH(C142,Clients!$A:$A,0)),"Check client ID"))</f>
        <v/>
      </c>
      <c r="E142" s="5"/>
      <c r="F142" s="5"/>
      <c r="G142" s="5"/>
      <c r="H142" s="15"/>
      <c r="I142" s="15"/>
      <c r="J142" s="13"/>
      <c r="K142" s="13"/>
      <c r="L142" s="5"/>
      <c r="M142" s="5"/>
    </row>
    <row r="143" customFormat="false" ht="15" hidden="false" customHeight="false" outlineLevel="0" collapsed="false">
      <c r="A143" s="5"/>
      <c r="B143" s="13"/>
      <c r="C143" s="5"/>
      <c r="D143" s="5" t="str">
        <f aca="false">IF(C143="","",IFERROR(INDEX(Clients!$B:$B,MATCH(C143,Clients!$A:$A,0)),"Check client ID"))</f>
        <v/>
      </c>
      <c r="E143" s="5"/>
      <c r="F143" s="5"/>
      <c r="G143" s="5"/>
      <c r="H143" s="15"/>
      <c r="I143" s="15"/>
      <c r="J143" s="13"/>
      <c r="K143" s="13"/>
      <c r="L143" s="5"/>
      <c r="M143" s="5"/>
    </row>
    <row r="144" customFormat="false" ht="15" hidden="false" customHeight="false" outlineLevel="0" collapsed="false">
      <c r="A144" s="5"/>
      <c r="B144" s="13"/>
      <c r="C144" s="5"/>
      <c r="D144" s="5" t="str">
        <f aca="false">IF(C144="","",IFERROR(INDEX(Clients!$B:$B,MATCH(C144,Clients!$A:$A,0)),"Check client ID"))</f>
        <v/>
      </c>
      <c r="E144" s="5"/>
      <c r="F144" s="5"/>
      <c r="G144" s="5"/>
      <c r="H144" s="15"/>
      <c r="I144" s="15"/>
      <c r="J144" s="13"/>
      <c r="K144" s="13"/>
      <c r="L144" s="5"/>
      <c r="M144" s="5"/>
    </row>
    <row r="145" customFormat="false" ht="15" hidden="false" customHeight="false" outlineLevel="0" collapsed="false">
      <c r="A145" s="5"/>
      <c r="B145" s="13"/>
      <c r="C145" s="5"/>
      <c r="D145" s="5" t="str">
        <f aca="false">IF(C145="","",IFERROR(INDEX(Clients!$B:$B,MATCH(C145,Clients!$A:$A,0)),"Check client ID"))</f>
        <v/>
      </c>
      <c r="E145" s="5"/>
      <c r="F145" s="5"/>
      <c r="G145" s="5"/>
      <c r="H145" s="15"/>
      <c r="I145" s="15"/>
      <c r="J145" s="13"/>
      <c r="K145" s="13"/>
      <c r="L145" s="5"/>
      <c r="M145" s="5"/>
    </row>
    <row r="146" customFormat="false" ht="15" hidden="false" customHeight="false" outlineLevel="0" collapsed="false">
      <c r="A146" s="5"/>
      <c r="B146" s="13"/>
      <c r="C146" s="5"/>
      <c r="D146" s="5" t="str">
        <f aca="false">IF(C146="","",IFERROR(INDEX(Clients!$B:$B,MATCH(C146,Clients!$A:$A,0)),"Check client ID"))</f>
        <v/>
      </c>
      <c r="E146" s="5"/>
      <c r="F146" s="5"/>
      <c r="G146" s="5"/>
      <c r="H146" s="15"/>
      <c r="I146" s="15"/>
      <c r="J146" s="13"/>
      <c r="K146" s="13"/>
      <c r="L146" s="5"/>
      <c r="M146" s="5"/>
    </row>
    <row r="147" customFormat="false" ht="15" hidden="false" customHeight="false" outlineLevel="0" collapsed="false">
      <c r="A147" s="5"/>
      <c r="B147" s="13"/>
      <c r="C147" s="5"/>
      <c r="D147" s="5" t="str">
        <f aca="false">IF(C147="","",IFERROR(INDEX(Clients!$B:$B,MATCH(C147,Clients!$A:$A,0)),"Check client ID"))</f>
        <v/>
      </c>
      <c r="E147" s="5"/>
      <c r="F147" s="5"/>
      <c r="G147" s="5"/>
      <c r="H147" s="15"/>
      <c r="I147" s="15"/>
      <c r="J147" s="13"/>
      <c r="K147" s="13"/>
      <c r="L147" s="5"/>
      <c r="M147" s="5"/>
    </row>
    <row r="148" customFormat="false" ht="15" hidden="false" customHeight="false" outlineLevel="0" collapsed="false">
      <c r="A148" s="5"/>
      <c r="B148" s="13"/>
      <c r="C148" s="5"/>
      <c r="D148" s="5" t="str">
        <f aca="false">IF(C148="","",IFERROR(INDEX(Clients!$B:$B,MATCH(C148,Clients!$A:$A,0)),"Check client ID"))</f>
        <v/>
      </c>
      <c r="E148" s="5"/>
      <c r="F148" s="5"/>
      <c r="G148" s="5"/>
      <c r="H148" s="15"/>
      <c r="I148" s="15"/>
      <c r="J148" s="13"/>
      <c r="K148" s="13"/>
      <c r="L148" s="5"/>
      <c r="M148" s="5"/>
    </row>
    <row r="149" customFormat="false" ht="15" hidden="false" customHeight="false" outlineLevel="0" collapsed="false">
      <c r="A149" s="5"/>
      <c r="B149" s="13"/>
      <c r="C149" s="5"/>
      <c r="D149" s="5" t="str">
        <f aca="false">IF(C149="","",IFERROR(INDEX(Clients!$B:$B,MATCH(C149,Clients!$A:$A,0)),"Check client ID"))</f>
        <v/>
      </c>
      <c r="E149" s="5"/>
      <c r="F149" s="5"/>
      <c r="G149" s="5"/>
      <c r="H149" s="15"/>
      <c r="I149" s="15"/>
      <c r="J149" s="13"/>
      <c r="K149" s="13"/>
      <c r="L149" s="5"/>
      <c r="M149" s="5"/>
    </row>
    <row r="150" customFormat="false" ht="15" hidden="false" customHeight="false" outlineLevel="0" collapsed="false">
      <c r="A150" s="5"/>
      <c r="B150" s="13"/>
      <c r="C150" s="5"/>
      <c r="D150" s="5" t="str">
        <f aca="false">IF(C150="","",IFERROR(INDEX(Clients!$B:$B,MATCH(C150,Clients!$A:$A,0)),"Check client ID"))</f>
        <v/>
      </c>
      <c r="E150" s="5"/>
      <c r="F150" s="5"/>
      <c r="G150" s="5"/>
      <c r="H150" s="15"/>
      <c r="I150" s="15"/>
      <c r="J150" s="13"/>
      <c r="K150" s="13"/>
      <c r="L150" s="5"/>
      <c r="M150" s="5"/>
    </row>
    <row r="151" customFormat="false" ht="15" hidden="false" customHeight="false" outlineLevel="0" collapsed="false">
      <c r="A151" s="5"/>
      <c r="B151" s="13"/>
      <c r="C151" s="5"/>
      <c r="D151" s="5" t="str">
        <f aca="false">IF(C151="","",IFERROR(INDEX(Clients!$B:$B,MATCH(C151,Clients!$A:$A,0)),"Check client ID"))</f>
        <v/>
      </c>
      <c r="E151" s="5"/>
      <c r="F151" s="5"/>
      <c r="G151" s="5"/>
      <c r="H151" s="15"/>
      <c r="I151" s="15"/>
      <c r="J151" s="13"/>
      <c r="K151" s="13"/>
      <c r="L151" s="5"/>
      <c r="M151" s="5"/>
    </row>
    <row r="152" customFormat="false" ht="15" hidden="false" customHeight="false" outlineLevel="0" collapsed="false">
      <c r="A152" s="5"/>
      <c r="B152" s="13"/>
      <c r="C152" s="5"/>
      <c r="D152" s="5" t="str">
        <f aca="false">IF(C152="","",IFERROR(INDEX(Clients!$B:$B,MATCH(C152,Clients!$A:$A,0)),"Check client ID"))</f>
        <v/>
      </c>
      <c r="E152" s="5"/>
      <c r="F152" s="5"/>
      <c r="G152" s="5"/>
      <c r="H152" s="15"/>
      <c r="I152" s="15"/>
      <c r="J152" s="13"/>
      <c r="K152" s="13"/>
      <c r="L152" s="5"/>
      <c r="M152" s="5"/>
    </row>
    <row r="153" customFormat="false" ht="15" hidden="false" customHeight="false" outlineLevel="0" collapsed="false">
      <c r="A153" s="5"/>
      <c r="B153" s="13"/>
      <c r="C153" s="5"/>
      <c r="D153" s="5" t="str">
        <f aca="false">IF(C153="","",IFERROR(INDEX(Clients!$B:$B,MATCH(C153,Clients!$A:$A,0)),"Check client ID"))</f>
        <v/>
      </c>
      <c r="E153" s="5"/>
      <c r="F153" s="5"/>
      <c r="G153" s="5"/>
      <c r="H153" s="15"/>
      <c r="I153" s="15"/>
      <c r="J153" s="13"/>
      <c r="K153" s="13"/>
      <c r="L153" s="5"/>
      <c r="M153" s="5"/>
    </row>
    <row r="154" customFormat="false" ht="15" hidden="false" customHeight="false" outlineLevel="0" collapsed="false">
      <c r="A154" s="5"/>
      <c r="B154" s="13"/>
      <c r="C154" s="5"/>
      <c r="D154" s="5" t="str">
        <f aca="false">IF(C154="","",IFERROR(INDEX(Clients!$B:$B,MATCH(C154,Clients!$A:$A,0)),"Check client ID"))</f>
        <v/>
      </c>
      <c r="E154" s="5"/>
      <c r="F154" s="5"/>
      <c r="G154" s="5"/>
      <c r="H154" s="15"/>
      <c r="I154" s="15"/>
      <c r="J154" s="13"/>
      <c r="K154" s="13"/>
      <c r="L154" s="5"/>
      <c r="M154" s="5"/>
    </row>
    <row r="155" customFormat="false" ht="15" hidden="false" customHeight="false" outlineLevel="0" collapsed="false">
      <c r="A155" s="5"/>
      <c r="B155" s="13"/>
      <c r="C155" s="5"/>
      <c r="D155" s="5" t="str">
        <f aca="false">IF(C155="","",IFERROR(INDEX(Clients!$B:$B,MATCH(C155,Clients!$A:$A,0)),"Check client ID"))</f>
        <v/>
      </c>
      <c r="E155" s="5"/>
      <c r="F155" s="5"/>
      <c r="G155" s="5"/>
      <c r="H155" s="15"/>
      <c r="I155" s="15"/>
      <c r="J155" s="13"/>
      <c r="K155" s="13"/>
      <c r="L155" s="5"/>
      <c r="M155" s="5"/>
    </row>
    <row r="156" customFormat="false" ht="15" hidden="false" customHeight="false" outlineLevel="0" collapsed="false">
      <c r="A156" s="5"/>
      <c r="B156" s="13"/>
      <c r="C156" s="5"/>
      <c r="D156" s="5" t="str">
        <f aca="false">IF(C156="","",IFERROR(INDEX(Clients!$B:$B,MATCH(C156,Clients!$A:$A,0)),"Check client ID"))</f>
        <v/>
      </c>
      <c r="E156" s="5"/>
      <c r="F156" s="5"/>
      <c r="G156" s="5"/>
      <c r="H156" s="15"/>
      <c r="I156" s="15"/>
      <c r="J156" s="13"/>
      <c r="K156" s="13"/>
      <c r="L156" s="5"/>
      <c r="M156" s="5"/>
    </row>
    <row r="157" customFormat="false" ht="15" hidden="false" customHeight="false" outlineLevel="0" collapsed="false">
      <c r="A157" s="5"/>
      <c r="B157" s="13"/>
      <c r="C157" s="5"/>
      <c r="D157" s="5" t="str">
        <f aca="false">IF(C157="","",IFERROR(INDEX(Clients!$B:$B,MATCH(C157,Clients!$A:$A,0)),"Check client ID"))</f>
        <v/>
      </c>
      <c r="E157" s="5"/>
      <c r="F157" s="5"/>
      <c r="G157" s="5"/>
      <c r="H157" s="15"/>
      <c r="I157" s="15"/>
      <c r="J157" s="13"/>
      <c r="K157" s="13"/>
      <c r="L157" s="5"/>
      <c r="M157" s="5"/>
    </row>
    <row r="158" customFormat="false" ht="15" hidden="false" customHeight="false" outlineLevel="0" collapsed="false">
      <c r="A158" s="5"/>
      <c r="B158" s="13"/>
      <c r="C158" s="5"/>
      <c r="D158" s="5" t="str">
        <f aca="false">IF(C158="","",IFERROR(INDEX(Clients!$B:$B,MATCH(C158,Clients!$A:$A,0)),"Check client ID"))</f>
        <v/>
      </c>
      <c r="E158" s="5"/>
      <c r="F158" s="5"/>
      <c r="G158" s="5"/>
      <c r="H158" s="15"/>
      <c r="I158" s="15"/>
      <c r="J158" s="13"/>
      <c r="K158" s="13"/>
      <c r="L158" s="5"/>
      <c r="M158" s="5"/>
    </row>
    <row r="159" customFormat="false" ht="15" hidden="false" customHeight="false" outlineLevel="0" collapsed="false">
      <c r="A159" s="5"/>
      <c r="B159" s="13"/>
      <c r="C159" s="5"/>
      <c r="D159" s="5" t="str">
        <f aca="false">IF(C159="","",IFERROR(INDEX(Clients!$B:$B,MATCH(C159,Clients!$A:$A,0)),"Check client ID"))</f>
        <v/>
      </c>
      <c r="E159" s="5"/>
      <c r="F159" s="5"/>
      <c r="G159" s="5"/>
      <c r="H159" s="15"/>
      <c r="I159" s="15"/>
      <c r="J159" s="13"/>
      <c r="K159" s="13"/>
      <c r="L159" s="5"/>
      <c r="M159" s="5"/>
    </row>
    <row r="160" customFormat="false" ht="15" hidden="false" customHeight="false" outlineLevel="0" collapsed="false">
      <c r="A160" s="5"/>
      <c r="B160" s="13"/>
      <c r="C160" s="5"/>
      <c r="D160" s="5" t="str">
        <f aca="false">IF(C160="","",IFERROR(INDEX(Clients!$B:$B,MATCH(C160,Clients!$A:$A,0)),"Check client ID"))</f>
        <v/>
      </c>
      <c r="E160" s="5"/>
      <c r="F160" s="5"/>
      <c r="G160" s="5"/>
      <c r="H160" s="15"/>
      <c r="I160" s="15"/>
      <c r="J160" s="13"/>
      <c r="K160" s="13"/>
      <c r="L160" s="5"/>
      <c r="M160" s="5"/>
    </row>
    <row r="161" customFormat="false" ht="15" hidden="false" customHeight="false" outlineLevel="0" collapsed="false">
      <c r="A161" s="5"/>
      <c r="B161" s="13"/>
      <c r="C161" s="5"/>
      <c r="D161" s="5" t="str">
        <f aca="false">IF(C161="","",IFERROR(INDEX(Clients!$B:$B,MATCH(C161,Clients!$A:$A,0)),"Check client ID"))</f>
        <v/>
      </c>
      <c r="E161" s="5"/>
      <c r="F161" s="5"/>
      <c r="G161" s="5"/>
      <c r="H161" s="15"/>
      <c r="I161" s="15"/>
      <c r="J161" s="13"/>
      <c r="K161" s="13"/>
      <c r="L161" s="5"/>
      <c r="M161" s="5"/>
    </row>
    <row r="162" customFormat="false" ht="15" hidden="false" customHeight="false" outlineLevel="0" collapsed="false">
      <c r="A162" s="5"/>
      <c r="B162" s="13"/>
      <c r="C162" s="5"/>
      <c r="D162" s="5" t="str">
        <f aca="false">IF(C162="","",IFERROR(INDEX(Clients!$B:$B,MATCH(C162,Clients!$A:$A,0)),"Check client ID"))</f>
        <v/>
      </c>
      <c r="E162" s="5"/>
      <c r="F162" s="5"/>
      <c r="G162" s="5"/>
      <c r="H162" s="15"/>
      <c r="I162" s="15"/>
      <c r="J162" s="13"/>
      <c r="K162" s="13"/>
      <c r="L162" s="5"/>
      <c r="M162" s="5"/>
    </row>
    <row r="163" customFormat="false" ht="15" hidden="false" customHeight="false" outlineLevel="0" collapsed="false">
      <c r="A163" s="5"/>
      <c r="B163" s="13"/>
      <c r="C163" s="5"/>
      <c r="D163" s="5" t="str">
        <f aca="false">IF(C163="","",IFERROR(INDEX(Clients!$B:$B,MATCH(C163,Clients!$A:$A,0)),"Check client ID"))</f>
        <v/>
      </c>
      <c r="E163" s="5"/>
      <c r="F163" s="5"/>
      <c r="G163" s="5"/>
      <c r="H163" s="15"/>
      <c r="I163" s="15"/>
      <c r="J163" s="13"/>
      <c r="K163" s="13"/>
      <c r="L163" s="5"/>
      <c r="M163" s="5"/>
    </row>
    <row r="164" customFormat="false" ht="15" hidden="false" customHeight="false" outlineLevel="0" collapsed="false">
      <c r="A164" s="5"/>
      <c r="B164" s="13"/>
      <c r="C164" s="5"/>
      <c r="D164" s="5" t="str">
        <f aca="false">IF(C164="","",IFERROR(INDEX(Clients!$B:$B,MATCH(C164,Clients!$A:$A,0)),"Check client ID"))</f>
        <v/>
      </c>
      <c r="E164" s="5"/>
      <c r="F164" s="5"/>
      <c r="G164" s="5"/>
      <c r="H164" s="15"/>
      <c r="I164" s="15"/>
      <c r="J164" s="13"/>
      <c r="K164" s="13"/>
      <c r="L164" s="5"/>
      <c r="M164" s="5"/>
    </row>
    <row r="165" customFormat="false" ht="15" hidden="false" customHeight="false" outlineLevel="0" collapsed="false">
      <c r="A165" s="5"/>
      <c r="B165" s="13"/>
      <c r="C165" s="5"/>
      <c r="D165" s="5" t="str">
        <f aca="false">IF(C165="","",IFERROR(INDEX(Clients!$B:$B,MATCH(C165,Clients!$A:$A,0)),"Check client ID"))</f>
        <v/>
      </c>
      <c r="E165" s="5"/>
      <c r="F165" s="5"/>
      <c r="G165" s="5"/>
      <c r="H165" s="15"/>
      <c r="I165" s="15"/>
      <c r="J165" s="13"/>
      <c r="K165" s="13"/>
      <c r="L165" s="5"/>
      <c r="M165" s="5"/>
    </row>
    <row r="166" customFormat="false" ht="15" hidden="false" customHeight="false" outlineLevel="0" collapsed="false">
      <c r="A166" s="5"/>
      <c r="B166" s="13"/>
      <c r="C166" s="5"/>
      <c r="D166" s="5" t="str">
        <f aca="false">IF(C166="","",IFERROR(INDEX(Clients!$B:$B,MATCH(C166,Clients!$A:$A,0)),"Check client ID"))</f>
        <v/>
      </c>
      <c r="E166" s="5"/>
      <c r="F166" s="5"/>
      <c r="G166" s="5"/>
      <c r="H166" s="15"/>
      <c r="I166" s="15"/>
      <c r="J166" s="13"/>
      <c r="K166" s="13"/>
      <c r="L166" s="5"/>
      <c r="M166" s="5"/>
    </row>
    <row r="167" customFormat="false" ht="15" hidden="false" customHeight="false" outlineLevel="0" collapsed="false">
      <c r="A167" s="5"/>
      <c r="B167" s="13"/>
      <c r="C167" s="5"/>
      <c r="D167" s="5" t="str">
        <f aca="false">IF(C167="","",IFERROR(INDEX(Clients!$B:$B,MATCH(C167,Clients!$A:$A,0)),"Check client ID"))</f>
        <v/>
      </c>
      <c r="E167" s="5"/>
      <c r="F167" s="5"/>
      <c r="G167" s="5"/>
      <c r="H167" s="15"/>
      <c r="I167" s="15"/>
      <c r="J167" s="13"/>
      <c r="K167" s="13"/>
      <c r="L167" s="5"/>
      <c r="M167" s="5"/>
    </row>
    <row r="168" customFormat="false" ht="15" hidden="false" customHeight="false" outlineLevel="0" collapsed="false">
      <c r="A168" s="5"/>
      <c r="B168" s="13"/>
      <c r="C168" s="5"/>
      <c r="D168" s="5" t="str">
        <f aca="false">IF(C168="","",IFERROR(INDEX(Clients!$B:$B,MATCH(C168,Clients!$A:$A,0)),"Check client ID"))</f>
        <v/>
      </c>
      <c r="E168" s="5"/>
      <c r="F168" s="5"/>
      <c r="G168" s="5"/>
      <c r="H168" s="15"/>
      <c r="I168" s="15"/>
      <c r="J168" s="13"/>
      <c r="K168" s="13"/>
      <c r="L168" s="5"/>
      <c r="M168" s="5"/>
    </row>
    <row r="169" customFormat="false" ht="15" hidden="false" customHeight="false" outlineLevel="0" collapsed="false">
      <c r="A169" s="5"/>
      <c r="B169" s="13"/>
      <c r="C169" s="5"/>
      <c r="D169" s="5" t="str">
        <f aca="false">IF(C169="","",IFERROR(INDEX(Clients!$B:$B,MATCH(C169,Clients!$A:$A,0)),"Check client ID"))</f>
        <v/>
      </c>
      <c r="E169" s="5"/>
      <c r="F169" s="5"/>
      <c r="G169" s="5"/>
      <c r="H169" s="15"/>
      <c r="I169" s="15"/>
      <c r="J169" s="13"/>
      <c r="K169" s="13"/>
      <c r="L169" s="5"/>
      <c r="M169" s="5"/>
    </row>
    <row r="170" customFormat="false" ht="15" hidden="false" customHeight="false" outlineLevel="0" collapsed="false">
      <c r="A170" s="5"/>
      <c r="B170" s="13"/>
      <c r="C170" s="5"/>
      <c r="D170" s="5" t="str">
        <f aca="false">IF(C170="","",IFERROR(INDEX(Clients!$B:$B,MATCH(C170,Clients!$A:$A,0)),"Check client ID"))</f>
        <v/>
      </c>
      <c r="E170" s="5"/>
      <c r="F170" s="5"/>
      <c r="G170" s="5"/>
      <c r="H170" s="15"/>
      <c r="I170" s="15"/>
      <c r="J170" s="13"/>
      <c r="K170" s="13"/>
      <c r="L170" s="5"/>
      <c r="M170" s="5"/>
    </row>
    <row r="171" customFormat="false" ht="15" hidden="false" customHeight="false" outlineLevel="0" collapsed="false">
      <c r="A171" s="5"/>
      <c r="B171" s="13"/>
      <c r="C171" s="5"/>
      <c r="D171" s="5" t="str">
        <f aca="false">IF(C171="","",IFERROR(INDEX(Clients!$B:$B,MATCH(C171,Clients!$A:$A,0)),"Check client ID"))</f>
        <v/>
      </c>
      <c r="E171" s="5"/>
      <c r="F171" s="5"/>
      <c r="G171" s="5"/>
      <c r="H171" s="15"/>
      <c r="I171" s="15"/>
      <c r="J171" s="13"/>
      <c r="K171" s="13"/>
      <c r="L171" s="5"/>
      <c r="M171" s="5"/>
    </row>
    <row r="172" customFormat="false" ht="15" hidden="false" customHeight="false" outlineLevel="0" collapsed="false">
      <c r="A172" s="5"/>
      <c r="B172" s="13"/>
      <c r="C172" s="5"/>
      <c r="D172" s="5" t="str">
        <f aca="false">IF(C172="","",IFERROR(INDEX(Clients!$B:$B,MATCH(C172,Clients!$A:$A,0)),"Check client ID"))</f>
        <v/>
      </c>
      <c r="E172" s="5"/>
      <c r="F172" s="5"/>
      <c r="G172" s="5"/>
      <c r="H172" s="15"/>
      <c r="I172" s="15"/>
      <c r="J172" s="13"/>
      <c r="K172" s="13"/>
      <c r="L172" s="5"/>
      <c r="M172" s="5"/>
    </row>
    <row r="173" customFormat="false" ht="15" hidden="false" customHeight="false" outlineLevel="0" collapsed="false">
      <c r="A173" s="5"/>
      <c r="B173" s="13"/>
      <c r="C173" s="5"/>
      <c r="D173" s="5" t="str">
        <f aca="false">IF(C173="","",IFERROR(INDEX(Clients!$B:$B,MATCH(C173,Clients!$A:$A,0)),"Check client ID"))</f>
        <v/>
      </c>
      <c r="E173" s="5"/>
      <c r="F173" s="5"/>
      <c r="G173" s="5"/>
      <c r="H173" s="15"/>
      <c r="I173" s="15"/>
      <c r="J173" s="13"/>
      <c r="K173" s="13"/>
      <c r="L173" s="5"/>
      <c r="M173" s="5"/>
    </row>
    <row r="174" customFormat="false" ht="15" hidden="false" customHeight="false" outlineLevel="0" collapsed="false">
      <c r="A174" s="5"/>
      <c r="B174" s="13"/>
      <c r="C174" s="5"/>
      <c r="D174" s="5" t="str">
        <f aca="false">IF(C174="","",IFERROR(INDEX(Clients!$B:$B,MATCH(C174,Clients!$A:$A,0)),"Check client ID"))</f>
        <v/>
      </c>
      <c r="E174" s="5"/>
      <c r="F174" s="5"/>
      <c r="G174" s="5"/>
      <c r="H174" s="15"/>
      <c r="I174" s="15"/>
      <c r="J174" s="13"/>
      <c r="K174" s="13"/>
      <c r="L174" s="5"/>
      <c r="M174" s="5"/>
    </row>
    <row r="175" customFormat="false" ht="15" hidden="false" customHeight="false" outlineLevel="0" collapsed="false">
      <c r="A175" s="5"/>
      <c r="B175" s="13"/>
      <c r="C175" s="5"/>
      <c r="D175" s="5" t="str">
        <f aca="false">IF(C175="","",IFERROR(INDEX(Clients!$B:$B,MATCH(C175,Clients!$A:$A,0)),"Check client ID"))</f>
        <v/>
      </c>
      <c r="E175" s="5"/>
      <c r="F175" s="5"/>
      <c r="G175" s="5"/>
      <c r="H175" s="15"/>
      <c r="I175" s="15"/>
      <c r="J175" s="13"/>
      <c r="K175" s="13"/>
      <c r="L175" s="5"/>
      <c r="M175" s="5"/>
    </row>
    <row r="176" customFormat="false" ht="15" hidden="false" customHeight="false" outlineLevel="0" collapsed="false">
      <c r="A176" s="5"/>
      <c r="B176" s="13"/>
      <c r="C176" s="5"/>
      <c r="D176" s="5" t="str">
        <f aca="false">IF(C176="","",IFERROR(INDEX(Clients!$B:$B,MATCH(C176,Clients!$A:$A,0)),"Check client ID"))</f>
        <v/>
      </c>
      <c r="E176" s="5"/>
      <c r="F176" s="5"/>
      <c r="G176" s="5"/>
      <c r="H176" s="15"/>
      <c r="I176" s="15"/>
      <c r="J176" s="13"/>
      <c r="K176" s="13"/>
      <c r="L176" s="5"/>
      <c r="M176" s="5"/>
    </row>
    <row r="177" customFormat="false" ht="15" hidden="false" customHeight="false" outlineLevel="0" collapsed="false">
      <c r="A177" s="5"/>
      <c r="B177" s="13"/>
      <c r="C177" s="5"/>
      <c r="D177" s="5" t="str">
        <f aca="false">IF(C177="","",IFERROR(INDEX(Clients!$B:$B,MATCH(C177,Clients!$A:$A,0)),"Check client ID"))</f>
        <v/>
      </c>
      <c r="E177" s="5"/>
      <c r="F177" s="5"/>
      <c r="G177" s="5"/>
      <c r="H177" s="15"/>
      <c r="I177" s="15"/>
      <c r="J177" s="13"/>
      <c r="K177" s="13"/>
      <c r="L177" s="5"/>
      <c r="M177" s="5"/>
    </row>
    <row r="178" customFormat="false" ht="15" hidden="false" customHeight="false" outlineLevel="0" collapsed="false">
      <c r="A178" s="5"/>
      <c r="B178" s="13"/>
      <c r="C178" s="5"/>
      <c r="D178" s="5" t="str">
        <f aca="false">IF(C178="","",IFERROR(INDEX(Clients!$B:$B,MATCH(C178,Clients!$A:$A,0)),"Check client ID"))</f>
        <v/>
      </c>
      <c r="E178" s="5"/>
      <c r="F178" s="5"/>
      <c r="G178" s="5"/>
      <c r="H178" s="15"/>
      <c r="I178" s="15"/>
      <c r="J178" s="13"/>
      <c r="K178" s="13"/>
      <c r="L178" s="5"/>
      <c r="M178" s="5"/>
    </row>
    <row r="179" customFormat="false" ht="15" hidden="false" customHeight="false" outlineLevel="0" collapsed="false">
      <c r="A179" s="5"/>
      <c r="B179" s="13"/>
      <c r="C179" s="5"/>
      <c r="D179" s="5" t="str">
        <f aca="false">IF(C179="","",IFERROR(INDEX(Clients!$B:$B,MATCH(C179,Clients!$A:$A,0)),"Check client ID"))</f>
        <v/>
      </c>
      <c r="E179" s="5"/>
      <c r="F179" s="5"/>
      <c r="G179" s="5"/>
      <c r="H179" s="15"/>
      <c r="I179" s="15"/>
      <c r="J179" s="13"/>
      <c r="K179" s="13"/>
      <c r="L179" s="5"/>
      <c r="M179" s="5"/>
    </row>
    <row r="180" customFormat="false" ht="15" hidden="false" customHeight="false" outlineLevel="0" collapsed="false">
      <c r="A180" s="5"/>
      <c r="B180" s="13"/>
      <c r="C180" s="5"/>
      <c r="D180" s="5" t="str">
        <f aca="false">IF(C180="","",IFERROR(INDEX(Clients!$B:$B,MATCH(C180,Clients!$A:$A,0)),"Check client ID"))</f>
        <v/>
      </c>
      <c r="E180" s="5"/>
      <c r="F180" s="5"/>
      <c r="G180" s="5"/>
      <c r="H180" s="15"/>
      <c r="I180" s="15"/>
      <c r="J180" s="13"/>
      <c r="K180" s="13"/>
      <c r="L180" s="5"/>
      <c r="M180" s="5"/>
    </row>
    <row r="181" customFormat="false" ht="15" hidden="false" customHeight="false" outlineLevel="0" collapsed="false">
      <c r="A181" s="5"/>
      <c r="B181" s="13"/>
      <c r="C181" s="5"/>
      <c r="D181" s="5" t="str">
        <f aca="false">IF(C181="","",IFERROR(INDEX(Clients!$B:$B,MATCH(C181,Clients!$A:$A,0)),"Check client ID"))</f>
        <v/>
      </c>
      <c r="E181" s="5"/>
      <c r="F181" s="5"/>
      <c r="G181" s="5"/>
      <c r="H181" s="15"/>
      <c r="I181" s="15"/>
      <c r="J181" s="13"/>
      <c r="K181" s="13"/>
      <c r="L181" s="5"/>
      <c r="M181" s="5"/>
    </row>
    <row r="182" customFormat="false" ht="15" hidden="false" customHeight="false" outlineLevel="0" collapsed="false">
      <c r="A182" s="5"/>
      <c r="B182" s="13"/>
      <c r="C182" s="5"/>
      <c r="D182" s="5" t="str">
        <f aca="false">IF(C182="","",IFERROR(INDEX(Clients!$B:$B,MATCH(C182,Clients!$A:$A,0)),"Check client ID"))</f>
        <v/>
      </c>
      <c r="E182" s="5"/>
      <c r="F182" s="5"/>
      <c r="G182" s="5"/>
      <c r="H182" s="15"/>
      <c r="I182" s="15"/>
      <c r="J182" s="13"/>
      <c r="K182" s="13"/>
      <c r="L182" s="5"/>
      <c r="M182" s="5"/>
    </row>
    <row r="183" customFormat="false" ht="15" hidden="false" customHeight="false" outlineLevel="0" collapsed="false">
      <c r="A183" s="5"/>
      <c r="B183" s="13"/>
      <c r="C183" s="5"/>
      <c r="D183" s="5" t="str">
        <f aca="false">IF(C183="","",IFERROR(INDEX(Clients!$B:$B,MATCH(C183,Clients!$A:$A,0)),"Check client ID"))</f>
        <v/>
      </c>
      <c r="E183" s="5"/>
      <c r="F183" s="5"/>
      <c r="G183" s="5"/>
      <c r="H183" s="15"/>
      <c r="I183" s="15"/>
      <c r="J183" s="13"/>
      <c r="K183" s="13"/>
      <c r="L183" s="5"/>
      <c r="M183" s="5"/>
    </row>
    <row r="184" customFormat="false" ht="15" hidden="false" customHeight="false" outlineLevel="0" collapsed="false">
      <c r="A184" s="5"/>
      <c r="B184" s="13"/>
      <c r="C184" s="5"/>
      <c r="D184" s="5" t="str">
        <f aca="false">IF(C184="","",IFERROR(INDEX(Clients!$B:$B,MATCH(C184,Clients!$A:$A,0)),"Check client ID"))</f>
        <v/>
      </c>
      <c r="E184" s="5"/>
      <c r="F184" s="5"/>
      <c r="G184" s="5"/>
      <c r="H184" s="15"/>
      <c r="I184" s="15"/>
      <c r="J184" s="13"/>
      <c r="K184" s="13"/>
      <c r="L184" s="5"/>
      <c r="M184" s="5"/>
    </row>
    <row r="185" customFormat="false" ht="15" hidden="false" customHeight="false" outlineLevel="0" collapsed="false">
      <c r="A185" s="5"/>
      <c r="B185" s="13"/>
      <c r="C185" s="5"/>
      <c r="D185" s="5" t="str">
        <f aca="false">IF(C185="","",IFERROR(INDEX(Clients!$B:$B,MATCH(C185,Clients!$A:$A,0)),"Check client ID"))</f>
        <v/>
      </c>
      <c r="E185" s="5"/>
      <c r="F185" s="5"/>
      <c r="G185" s="5"/>
      <c r="H185" s="15"/>
      <c r="I185" s="15"/>
      <c r="J185" s="13"/>
      <c r="K185" s="13"/>
      <c r="L185" s="5"/>
      <c r="M185" s="5"/>
    </row>
    <row r="186" customFormat="false" ht="15" hidden="false" customHeight="false" outlineLevel="0" collapsed="false">
      <c r="A186" s="5"/>
      <c r="B186" s="13"/>
      <c r="C186" s="5"/>
      <c r="D186" s="5" t="str">
        <f aca="false">IF(C186="","",IFERROR(INDEX(Clients!$B:$B,MATCH(C186,Clients!$A:$A,0)),"Check client ID"))</f>
        <v/>
      </c>
      <c r="E186" s="5"/>
      <c r="F186" s="5"/>
      <c r="G186" s="5"/>
      <c r="H186" s="15"/>
      <c r="I186" s="15"/>
      <c r="J186" s="13"/>
      <c r="K186" s="13"/>
      <c r="L186" s="5"/>
      <c r="M186" s="5"/>
    </row>
    <row r="187" customFormat="false" ht="15" hidden="false" customHeight="false" outlineLevel="0" collapsed="false">
      <c r="A187" s="5"/>
      <c r="B187" s="13"/>
      <c r="C187" s="5"/>
      <c r="D187" s="5" t="str">
        <f aca="false">IF(C187="","",IFERROR(INDEX(Clients!$B:$B,MATCH(C187,Clients!$A:$A,0)),"Check client ID"))</f>
        <v/>
      </c>
      <c r="E187" s="5"/>
      <c r="F187" s="5"/>
      <c r="G187" s="5"/>
      <c r="H187" s="15"/>
      <c r="I187" s="15"/>
      <c r="J187" s="13"/>
      <c r="K187" s="13"/>
      <c r="L187" s="5"/>
      <c r="M187" s="5"/>
    </row>
    <row r="188" customFormat="false" ht="15" hidden="false" customHeight="false" outlineLevel="0" collapsed="false">
      <c r="A188" s="5"/>
      <c r="B188" s="13"/>
      <c r="C188" s="5"/>
      <c r="D188" s="5" t="str">
        <f aca="false">IF(C188="","",IFERROR(INDEX(Clients!$B:$B,MATCH(C188,Clients!$A:$A,0)),"Check client ID"))</f>
        <v/>
      </c>
      <c r="E188" s="5"/>
      <c r="F188" s="5"/>
      <c r="G188" s="5"/>
      <c r="H188" s="15"/>
      <c r="I188" s="15"/>
      <c r="J188" s="13"/>
      <c r="K188" s="13"/>
      <c r="L188" s="5"/>
      <c r="M188" s="5"/>
    </row>
    <row r="189" customFormat="false" ht="15" hidden="false" customHeight="false" outlineLevel="0" collapsed="false">
      <c r="A189" s="5"/>
      <c r="B189" s="13"/>
      <c r="C189" s="5"/>
      <c r="D189" s="5" t="str">
        <f aca="false">IF(C189="","",IFERROR(INDEX(Clients!$B:$B,MATCH(C189,Clients!$A:$A,0)),"Check client ID"))</f>
        <v/>
      </c>
      <c r="E189" s="5"/>
      <c r="F189" s="5"/>
      <c r="G189" s="5"/>
      <c r="H189" s="15"/>
      <c r="I189" s="15"/>
      <c r="J189" s="13"/>
      <c r="K189" s="13"/>
      <c r="L189" s="5"/>
      <c r="M189" s="5"/>
    </row>
    <row r="190" customFormat="false" ht="15" hidden="false" customHeight="false" outlineLevel="0" collapsed="false">
      <c r="A190" s="5"/>
      <c r="B190" s="13"/>
      <c r="C190" s="5"/>
      <c r="D190" s="5" t="str">
        <f aca="false">IF(C190="","",IFERROR(INDEX(Clients!$B:$B,MATCH(C190,Clients!$A:$A,0)),"Check client ID"))</f>
        <v/>
      </c>
      <c r="E190" s="5"/>
      <c r="F190" s="5"/>
      <c r="G190" s="5"/>
      <c r="H190" s="15"/>
      <c r="I190" s="15"/>
      <c r="J190" s="13"/>
      <c r="K190" s="13"/>
      <c r="L190" s="5"/>
      <c r="M190" s="5"/>
    </row>
    <row r="191" customFormat="false" ht="15" hidden="false" customHeight="false" outlineLevel="0" collapsed="false">
      <c r="A191" s="5"/>
      <c r="B191" s="13"/>
      <c r="C191" s="5"/>
      <c r="D191" s="5" t="str">
        <f aca="false">IF(C191="","",IFERROR(INDEX(Clients!$B:$B,MATCH(C191,Clients!$A:$A,0)),"Check client ID"))</f>
        <v/>
      </c>
      <c r="E191" s="5"/>
      <c r="F191" s="5"/>
      <c r="G191" s="5"/>
      <c r="H191" s="15"/>
      <c r="I191" s="15"/>
      <c r="J191" s="13"/>
      <c r="K191" s="13"/>
      <c r="L191" s="5"/>
      <c r="M191" s="5"/>
    </row>
    <row r="192" customFormat="false" ht="15" hidden="false" customHeight="false" outlineLevel="0" collapsed="false">
      <c r="A192" s="5"/>
      <c r="B192" s="13"/>
      <c r="C192" s="5"/>
      <c r="D192" s="5" t="str">
        <f aca="false">IF(C192="","",IFERROR(INDEX(Clients!$B:$B,MATCH(C192,Clients!$A:$A,0)),"Check client ID"))</f>
        <v/>
      </c>
      <c r="E192" s="5"/>
      <c r="F192" s="5"/>
      <c r="G192" s="5"/>
      <c r="H192" s="15"/>
      <c r="I192" s="15"/>
      <c r="J192" s="13"/>
      <c r="K192" s="13"/>
      <c r="L192" s="5"/>
      <c r="M192" s="5"/>
    </row>
    <row r="193" customFormat="false" ht="15" hidden="false" customHeight="false" outlineLevel="0" collapsed="false">
      <c r="A193" s="5"/>
      <c r="B193" s="13"/>
      <c r="C193" s="5"/>
      <c r="D193" s="5" t="str">
        <f aca="false">IF(C193="","",IFERROR(INDEX(Clients!$B:$B,MATCH(C193,Clients!$A:$A,0)),"Check client ID"))</f>
        <v/>
      </c>
      <c r="E193" s="5"/>
      <c r="F193" s="5"/>
      <c r="G193" s="5"/>
      <c r="H193" s="15"/>
      <c r="I193" s="15"/>
      <c r="J193" s="13"/>
      <c r="K193" s="13"/>
      <c r="L193" s="5"/>
      <c r="M193" s="5"/>
    </row>
    <row r="194" customFormat="false" ht="15" hidden="false" customHeight="false" outlineLevel="0" collapsed="false">
      <c r="A194" s="5"/>
      <c r="B194" s="13"/>
      <c r="C194" s="5"/>
      <c r="D194" s="5" t="str">
        <f aca="false">IF(C194="","",IFERROR(INDEX(Clients!$B:$B,MATCH(C194,Clients!$A:$A,0)),"Check client ID"))</f>
        <v/>
      </c>
      <c r="E194" s="5"/>
      <c r="F194" s="5"/>
      <c r="G194" s="5"/>
      <c r="H194" s="15"/>
      <c r="I194" s="15"/>
      <c r="J194" s="13"/>
      <c r="K194" s="13"/>
      <c r="L194" s="5"/>
      <c r="M194" s="5"/>
    </row>
    <row r="195" customFormat="false" ht="15" hidden="false" customHeight="false" outlineLevel="0" collapsed="false">
      <c r="A195" s="5"/>
      <c r="B195" s="13"/>
      <c r="C195" s="5"/>
      <c r="D195" s="5" t="str">
        <f aca="false">IF(C195="","",IFERROR(INDEX(Clients!$B:$B,MATCH(C195,Clients!$A:$A,0)),"Check client ID"))</f>
        <v/>
      </c>
      <c r="E195" s="5"/>
      <c r="F195" s="5"/>
      <c r="G195" s="5"/>
      <c r="H195" s="15"/>
      <c r="I195" s="15"/>
      <c r="J195" s="13"/>
      <c r="K195" s="13"/>
      <c r="L195" s="5"/>
      <c r="M195" s="5"/>
    </row>
    <row r="196" customFormat="false" ht="15" hidden="false" customHeight="false" outlineLevel="0" collapsed="false">
      <c r="A196" s="5"/>
      <c r="B196" s="13"/>
      <c r="C196" s="5"/>
      <c r="D196" s="5" t="str">
        <f aca="false">IF(C196="","",IFERROR(INDEX(Clients!$B:$B,MATCH(C196,Clients!$A:$A,0)),"Check client ID"))</f>
        <v/>
      </c>
      <c r="E196" s="5"/>
      <c r="F196" s="5"/>
      <c r="G196" s="5"/>
      <c r="H196" s="15"/>
      <c r="I196" s="15"/>
      <c r="J196" s="13"/>
      <c r="K196" s="13"/>
      <c r="L196" s="5"/>
      <c r="M196" s="5"/>
    </row>
    <row r="197" customFormat="false" ht="15" hidden="false" customHeight="false" outlineLevel="0" collapsed="false">
      <c r="A197" s="5"/>
      <c r="B197" s="13"/>
      <c r="C197" s="5"/>
      <c r="D197" s="5" t="str">
        <f aca="false">IF(C197="","",IFERROR(INDEX(Clients!$B:$B,MATCH(C197,Clients!$A:$A,0)),"Check client ID"))</f>
        <v/>
      </c>
      <c r="E197" s="5"/>
      <c r="F197" s="5"/>
      <c r="G197" s="5"/>
      <c r="H197" s="15"/>
      <c r="I197" s="15"/>
      <c r="J197" s="13"/>
      <c r="K197" s="13"/>
      <c r="L197" s="5"/>
      <c r="M197" s="5"/>
    </row>
    <row r="198" customFormat="false" ht="15" hidden="false" customHeight="false" outlineLevel="0" collapsed="false">
      <c r="A198" s="5"/>
      <c r="B198" s="13"/>
      <c r="C198" s="5"/>
      <c r="D198" s="5" t="str">
        <f aca="false">IF(C198="","",IFERROR(INDEX(Clients!$B:$B,MATCH(C198,Clients!$A:$A,0)),"Check client ID"))</f>
        <v/>
      </c>
      <c r="E198" s="5"/>
      <c r="F198" s="5"/>
      <c r="G198" s="5"/>
      <c r="H198" s="15"/>
      <c r="I198" s="15"/>
      <c r="J198" s="13"/>
      <c r="K198" s="13"/>
      <c r="L198" s="5"/>
      <c r="M198" s="5"/>
    </row>
    <row r="199" customFormat="false" ht="15" hidden="false" customHeight="false" outlineLevel="0" collapsed="false">
      <c r="A199" s="5"/>
      <c r="B199" s="13"/>
      <c r="C199" s="5"/>
      <c r="D199" s="5" t="str">
        <f aca="false">IF(C199="","",IFERROR(INDEX(Clients!$B:$B,MATCH(C199,Clients!$A:$A,0)),"Check client ID"))</f>
        <v/>
      </c>
      <c r="E199" s="5"/>
      <c r="F199" s="5"/>
      <c r="G199" s="5"/>
      <c r="H199" s="15"/>
      <c r="I199" s="15"/>
      <c r="J199" s="13"/>
      <c r="K199" s="13"/>
      <c r="L199" s="5"/>
      <c r="M199" s="5"/>
    </row>
    <row r="200" customFormat="false" ht="15" hidden="false" customHeight="false" outlineLevel="0" collapsed="false">
      <c r="A200" s="5"/>
      <c r="B200" s="13"/>
      <c r="C200" s="5"/>
      <c r="D200" s="5" t="str">
        <f aca="false">IF(C200="","",IFERROR(INDEX(Clients!$B:$B,MATCH(C200,Clients!$A:$A,0)),"Check client ID"))</f>
        <v/>
      </c>
      <c r="E200" s="5"/>
      <c r="F200" s="5"/>
      <c r="G200" s="5"/>
      <c r="H200" s="15"/>
      <c r="I200" s="15"/>
      <c r="J200" s="13"/>
      <c r="K200" s="13"/>
      <c r="L200" s="5"/>
      <c r="M200" s="5"/>
    </row>
    <row r="201" customFormat="false" ht="15" hidden="false" customHeight="false" outlineLevel="0" collapsed="false">
      <c r="A201" s="5"/>
      <c r="B201" s="13"/>
      <c r="C201" s="5"/>
      <c r="D201" s="5" t="str">
        <f aca="false">IF(C201="","",IFERROR(INDEX(Clients!$B:$B,MATCH(C201,Clients!$A:$A,0)),"Check client ID"))</f>
        <v/>
      </c>
      <c r="E201" s="5"/>
      <c r="F201" s="5"/>
      <c r="G201" s="5"/>
      <c r="H201" s="15"/>
      <c r="I201" s="15"/>
      <c r="J201" s="13"/>
      <c r="K201" s="13"/>
      <c r="L201" s="5"/>
      <c r="M201" s="5"/>
    </row>
    <row r="202" customFormat="false" ht="15" hidden="false" customHeight="false" outlineLevel="0" collapsed="false">
      <c r="A202" s="5"/>
      <c r="B202" s="13"/>
      <c r="C202" s="5"/>
      <c r="D202" s="5" t="str">
        <f aca="false">IF(C202="","",IFERROR(INDEX(Clients!$B:$B,MATCH(C202,Clients!$A:$A,0)),"Check client ID"))</f>
        <v/>
      </c>
      <c r="E202" s="5"/>
      <c r="F202" s="5"/>
      <c r="G202" s="5"/>
      <c r="H202" s="15"/>
      <c r="I202" s="15"/>
      <c r="J202" s="13"/>
      <c r="K202" s="13"/>
      <c r="L202" s="5"/>
      <c r="M202" s="5"/>
    </row>
    <row r="203" customFormat="false" ht="15" hidden="false" customHeight="false" outlineLevel="0" collapsed="false">
      <c r="A203" s="5"/>
      <c r="B203" s="13"/>
      <c r="C203" s="5"/>
      <c r="D203" s="5" t="str">
        <f aca="false">IF(C203="","",IFERROR(INDEX(Clients!$B:$B,MATCH(C203,Clients!$A:$A,0)),"Check client ID"))</f>
        <v/>
      </c>
      <c r="E203" s="5"/>
      <c r="F203" s="5"/>
      <c r="G203" s="5"/>
      <c r="H203" s="15"/>
      <c r="I203" s="15"/>
      <c r="J203" s="13"/>
      <c r="K203" s="13"/>
      <c r="L203" s="5"/>
      <c r="M203" s="5"/>
    </row>
    <row r="204" customFormat="false" ht="15" hidden="false" customHeight="false" outlineLevel="0" collapsed="false">
      <c r="A204" s="5"/>
      <c r="B204" s="13"/>
      <c r="C204" s="5"/>
      <c r="D204" s="5" t="str">
        <f aca="false">IF(C204="","",IFERROR(INDEX(Clients!$B:$B,MATCH(C204,Clients!$A:$A,0)),"Check client ID"))</f>
        <v/>
      </c>
      <c r="E204" s="5"/>
      <c r="F204" s="5"/>
      <c r="G204" s="5"/>
      <c r="H204" s="15"/>
      <c r="I204" s="15"/>
      <c r="J204" s="13"/>
      <c r="K204" s="13"/>
      <c r="L204" s="5"/>
      <c r="M204" s="5"/>
    </row>
    <row r="205" customFormat="false" ht="15" hidden="false" customHeight="false" outlineLevel="0" collapsed="false">
      <c r="A205" s="5"/>
      <c r="B205" s="13"/>
      <c r="C205" s="5"/>
      <c r="D205" s="5" t="str">
        <f aca="false">IF(C205="","",IFERROR(INDEX(Clients!$B:$B,MATCH(C205,Clients!$A:$A,0)),"Check client ID"))</f>
        <v/>
      </c>
      <c r="E205" s="5"/>
      <c r="F205" s="5"/>
      <c r="G205" s="5"/>
      <c r="H205" s="15"/>
      <c r="I205" s="15"/>
      <c r="J205" s="13"/>
      <c r="K205" s="13"/>
      <c r="L205" s="5"/>
      <c r="M205" s="5"/>
    </row>
    <row r="206" customFormat="false" ht="15" hidden="false" customHeight="false" outlineLevel="0" collapsed="false">
      <c r="A206" s="5"/>
      <c r="B206" s="13"/>
      <c r="C206" s="5"/>
      <c r="D206" s="5" t="str">
        <f aca="false">IF(C206="","",IFERROR(INDEX(Clients!$B:$B,MATCH(C206,Clients!$A:$A,0)),"Check client ID"))</f>
        <v/>
      </c>
      <c r="E206" s="5"/>
      <c r="F206" s="5"/>
      <c r="G206" s="5"/>
      <c r="H206" s="15"/>
      <c r="I206" s="15"/>
      <c r="J206" s="13"/>
      <c r="K206" s="13"/>
      <c r="L206" s="5"/>
      <c r="M206" s="5"/>
    </row>
    <row r="207" customFormat="false" ht="15" hidden="false" customHeight="false" outlineLevel="0" collapsed="false">
      <c r="A207" s="5"/>
      <c r="B207" s="13"/>
      <c r="C207" s="5"/>
      <c r="D207" s="5" t="str">
        <f aca="false">IF(C207="","",IFERROR(INDEX(Clients!$B:$B,MATCH(C207,Clients!$A:$A,0)),"Check client ID"))</f>
        <v/>
      </c>
      <c r="E207" s="5"/>
      <c r="F207" s="5"/>
      <c r="G207" s="5"/>
      <c r="H207" s="15"/>
      <c r="I207" s="15"/>
      <c r="J207" s="13"/>
      <c r="K207" s="13"/>
      <c r="L207" s="5"/>
      <c r="M207" s="5"/>
    </row>
    <row r="208" customFormat="false" ht="15" hidden="false" customHeight="false" outlineLevel="0" collapsed="false">
      <c r="A208" s="5"/>
      <c r="B208" s="13"/>
      <c r="C208" s="5"/>
      <c r="D208" s="5" t="str">
        <f aca="false">IF(C208="","",IFERROR(INDEX(Clients!$B:$B,MATCH(C208,Clients!$A:$A,0)),"Check client ID"))</f>
        <v/>
      </c>
      <c r="E208" s="5"/>
      <c r="F208" s="5"/>
      <c r="G208" s="5"/>
      <c r="H208" s="15"/>
      <c r="I208" s="15"/>
      <c r="J208" s="13"/>
      <c r="K208" s="13"/>
      <c r="L208" s="5"/>
      <c r="M208" s="5"/>
    </row>
    <row r="209" customFormat="false" ht="15" hidden="false" customHeight="false" outlineLevel="0" collapsed="false">
      <c r="A209" s="5"/>
      <c r="B209" s="13"/>
      <c r="C209" s="5"/>
      <c r="D209" s="5" t="str">
        <f aca="false">IF(C209="","",IFERROR(INDEX(Clients!$B:$B,MATCH(C209,Clients!$A:$A,0)),"Check client ID"))</f>
        <v/>
      </c>
      <c r="E209" s="5"/>
      <c r="F209" s="5"/>
      <c r="G209" s="5"/>
      <c r="H209" s="15"/>
      <c r="I209" s="15"/>
      <c r="J209" s="13"/>
      <c r="K209" s="13"/>
      <c r="L209" s="5"/>
      <c r="M209" s="5"/>
    </row>
    <row r="210" customFormat="false" ht="15" hidden="false" customHeight="false" outlineLevel="0" collapsed="false">
      <c r="A210" s="5"/>
      <c r="B210" s="13"/>
      <c r="C210" s="5"/>
      <c r="D210" s="5" t="str">
        <f aca="false">IF(C210="","",IFERROR(INDEX(Clients!$B:$B,MATCH(C210,Clients!$A:$A,0)),"Check client ID"))</f>
        <v/>
      </c>
      <c r="E210" s="5"/>
      <c r="F210" s="5"/>
      <c r="G210" s="5"/>
      <c r="H210" s="15"/>
      <c r="I210" s="15"/>
      <c r="J210" s="13"/>
      <c r="K210" s="13"/>
      <c r="L210" s="5"/>
      <c r="M210" s="5"/>
    </row>
    <row r="211" customFormat="false" ht="15" hidden="false" customHeight="false" outlineLevel="0" collapsed="false">
      <c r="A211" s="5"/>
      <c r="B211" s="13"/>
      <c r="C211" s="5"/>
      <c r="D211" s="5" t="str">
        <f aca="false">IF(C211="","",IFERROR(INDEX(Clients!$B:$B,MATCH(C211,Clients!$A:$A,0)),"Check client ID"))</f>
        <v/>
      </c>
      <c r="E211" s="5"/>
      <c r="F211" s="5"/>
      <c r="G211" s="5"/>
      <c r="H211" s="15"/>
      <c r="I211" s="15"/>
      <c r="J211" s="13"/>
      <c r="K211" s="13"/>
      <c r="L211" s="5"/>
      <c r="M211" s="5"/>
    </row>
    <row r="212" customFormat="false" ht="15" hidden="false" customHeight="false" outlineLevel="0" collapsed="false">
      <c r="A212" s="5"/>
      <c r="B212" s="13"/>
      <c r="C212" s="5"/>
      <c r="D212" s="5" t="str">
        <f aca="false">IF(C212="","",IFERROR(INDEX(Clients!$B:$B,MATCH(C212,Clients!$A:$A,0)),"Check client ID"))</f>
        <v/>
      </c>
      <c r="E212" s="5"/>
      <c r="F212" s="5"/>
      <c r="G212" s="5"/>
      <c r="H212" s="15"/>
      <c r="I212" s="15"/>
      <c r="J212" s="13"/>
      <c r="K212" s="13"/>
      <c r="L212" s="5"/>
      <c r="M212" s="5"/>
    </row>
    <row r="213" customFormat="false" ht="15" hidden="false" customHeight="false" outlineLevel="0" collapsed="false">
      <c r="A213" s="5"/>
      <c r="B213" s="13"/>
      <c r="C213" s="5"/>
      <c r="D213" s="5" t="str">
        <f aca="false">IF(C213="","",IFERROR(INDEX(Clients!$B:$B,MATCH(C213,Clients!$A:$A,0)),"Check client ID"))</f>
        <v/>
      </c>
      <c r="E213" s="5"/>
      <c r="F213" s="5"/>
      <c r="G213" s="5"/>
      <c r="H213" s="15"/>
      <c r="I213" s="15"/>
      <c r="J213" s="13"/>
      <c r="K213" s="13"/>
      <c r="L213" s="5"/>
      <c r="M213" s="5"/>
    </row>
    <row r="214" customFormat="false" ht="15" hidden="false" customHeight="false" outlineLevel="0" collapsed="false">
      <c r="A214" s="5"/>
      <c r="B214" s="13"/>
      <c r="C214" s="5"/>
      <c r="D214" s="5" t="str">
        <f aca="false">IF(C214="","",IFERROR(INDEX(Clients!$B:$B,MATCH(C214,Clients!$A:$A,0)),"Check client ID"))</f>
        <v/>
      </c>
      <c r="E214" s="5"/>
      <c r="F214" s="5"/>
      <c r="G214" s="5"/>
      <c r="H214" s="15"/>
      <c r="I214" s="15"/>
      <c r="J214" s="13"/>
      <c r="K214" s="13"/>
      <c r="L214" s="5"/>
      <c r="M214" s="5"/>
    </row>
    <row r="215" customFormat="false" ht="15" hidden="false" customHeight="false" outlineLevel="0" collapsed="false">
      <c r="A215" s="5"/>
      <c r="B215" s="13"/>
      <c r="C215" s="5"/>
      <c r="D215" s="5" t="str">
        <f aca="false">IF(C215="","",IFERROR(INDEX(Clients!$B:$B,MATCH(C215,Clients!$A:$A,0)),"Check client ID"))</f>
        <v/>
      </c>
      <c r="E215" s="5"/>
      <c r="F215" s="5"/>
      <c r="G215" s="5"/>
      <c r="H215" s="15"/>
      <c r="I215" s="15"/>
      <c r="J215" s="13"/>
      <c r="K215" s="13"/>
      <c r="L215" s="5"/>
      <c r="M215" s="5"/>
    </row>
    <row r="216" customFormat="false" ht="15" hidden="false" customHeight="false" outlineLevel="0" collapsed="false">
      <c r="A216" s="5"/>
      <c r="B216" s="13"/>
      <c r="C216" s="5"/>
      <c r="D216" s="5" t="str">
        <f aca="false">IF(C216="","",IFERROR(INDEX(Clients!$B:$B,MATCH(C216,Clients!$A:$A,0)),"Check client ID"))</f>
        <v/>
      </c>
      <c r="E216" s="5"/>
      <c r="F216" s="5"/>
      <c r="G216" s="5"/>
      <c r="H216" s="15"/>
      <c r="I216" s="15"/>
      <c r="J216" s="13"/>
      <c r="K216" s="13"/>
      <c r="L216" s="5"/>
      <c r="M216" s="5"/>
    </row>
    <row r="217" customFormat="false" ht="15" hidden="false" customHeight="false" outlineLevel="0" collapsed="false">
      <c r="A217" s="5"/>
      <c r="B217" s="13"/>
      <c r="C217" s="5"/>
      <c r="D217" s="5" t="str">
        <f aca="false">IF(C217="","",IFERROR(INDEX(Clients!$B:$B,MATCH(C217,Clients!$A:$A,0)),"Check client ID"))</f>
        <v/>
      </c>
      <c r="E217" s="5"/>
      <c r="F217" s="5"/>
      <c r="G217" s="5"/>
      <c r="H217" s="15"/>
      <c r="I217" s="15"/>
      <c r="J217" s="13"/>
      <c r="K217" s="13"/>
      <c r="L217" s="5"/>
      <c r="M217" s="5"/>
    </row>
    <row r="218" customFormat="false" ht="15" hidden="false" customHeight="false" outlineLevel="0" collapsed="false">
      <c r="A218" s="5"/>
      <c r="B218" s="13"/>
      <c r="C218" s="5"/>
      <c r="D218" s="5" t="str">
        <f aca="false">IF(C218="","",IFERROR(INDEX(Clients!$B:$B,MATCH(C218,Clients!$A:$A,0)),"Check client ID"))</f>
        <v/>
      </c>
      <c r="E218" s="5"/>
      <c r="F218" s="5"/>
      <c r="G218" s="5"/>
      <c r="H218" s="15"/>
      <c r="I218" s="15"/>
      <c r="J218" s="13"/>
      <c r="K218" s="13"/>
      <c r="L218" s="5"/>
      <c r="M218" s="5"/>
    </row>
    <row r="219" customFormat="false" ht="15" hidden="false" customHeight="false" outlineLevel="0" collapsed="false">
      <c r="A219" s="5"/>
      <c r="B219" s="13"/>
      <c r="C219" s="5"/>
      <c r="D219" s="5" t="str">
        <f aca="false">IF(C219="","",IFERROR(INDEX(Clients!$B:$B,MATCH(C219,Clients!$A:$A,0)),"Check client ID"))</f>
        <v/>
      </c>
      <c r="E219" s="5"/>
      <c r="F219" s="5"/>
      <c r="G219" s="5"/>
      <c r="H219" s="15"/>
      <c r="I219" s="15"/>
      <c r="J219" s="13"/>
      <c r="K219" s="13"/>
      <c r="L219" s="5"/>
      <c r="M219" s="5"/>
    </row>
    <row r="220" customFormat="false" ht="15" hidden="false" customHeight="false" outlineLevel="0" collapsed="false">
      <c r="A220" s="5"/>
      <c r="B220" s="13"/>
      <c r="C220" s="5"/>
      <c r="D220" s="5" t="str">
        <f aca="false">IF(C220="","",IFERROR(INDEX(Clients!$B:$B,MATCH(C220,Clients!$A:$A,0)),"Check client ID"))</f>
        <v/>
      </c>
      <c r="E220" s="5"/>
      <c r="F220" s="5"/>
      <c r="G220" s="5"/>
      <c r="H220" s="15"/>
      <c r="I220" s="15"/>
      <c r="J220" s="13"/>
      <c r="K220" s="13"/>
      <c r="L220" s="5"/>
      <c r="M220" s="5"/>
    </row>
    <row r="221" customFormat="false" ht="15" hidden="false" customHeight="false" outlineLevel="0" collapsed="false">
      <c r="A221" s="5"/>
      <c r="B221" s="13"/>
      <c r="C221" s="5"/>
      <c r="D221" s="5" t="str">
        <f aca="false">IF(C221="","",IFERROR(INDEX(Clients!$B:$B,MATCH(C221,Clients!$A:$A,0)),"Check client ID"))</f>
        <v/>
      </c>
      <c r="E221" s="5"/>
      <c r="F221" s="5"/>
      <c r="G221" s="5"/>
      <c r="H221" s="15"/>
      <c r="I221" s="15"/>
      <c r="J221" s="13"/>
      <c r="K221" s="13"/>
      <c r="L221" s="5"/>
      <c r="M221" s="5"/>
    </row>
    <row r="222" customFormat="false" ht="15" hidden="false" customHeight="false" outlineLevel="0" collapsed="false">
      <c r="A222" s="5"/>
      <c r="B222" s="13"/>
      <c r="C222" s="5"/>
      <c r="D222" s="5" t="str">
        <f aca="false">IF(C222="","",IFERROR(INDEX(Clients!$B:$B,MATCH(C222,Clients!$A:$A,0)),"Check client ID"))</f>
        <v/>
      </c>
      <c r="E222" s="5"/>
      <c r="F222" s="5"/>
      <c r="G222" s="5"/>
      <c r="H222" s="15"/>
      <c r="I222" s="15"/>
      <c r="J222" s="13"/>
      <c r="K222" s="13"/>
      <c r="L222" s="5"/>
      <c r="M222" s="5"/>
    </row>
    <row r="223" customFormat="false" ht="15" hidden="false" customHeight="false" outlineLevel="0" collapsed="false">
      <c r="A223" s="5"/>
      <c r="B223" s="13"/>
      <c r="C223" s="5"/>
      <c r="D223" s="5" t="str">
        <f aca="false">IF(C223="","",IFERROR(INDEX(Clients!$B:$B,MATCH(C223,Clients!$A:$A,0)),"Check client ID"))</f>
        <v/>
      </c>
      <c r="E223" s="5"/>
      <c r="F223" s="5"/>
      <c r="G223" s="5"/>
      <c r="H223" s="15"/>
      <c r="I223" s="15"/>
      <c r="J223" s="13"/>
      <c r="K223" s="13"/>
      <c r="L223" s="5"/>
      <c r="M223" s="5"/>
    </row>
    <row r="224" customFormat="false" ht="15" hidden="false" customHeight="false" outlineLevel="0" collapsed="false">
      <c r="A224" s="5"/>
      <c r="B224" s="13"/>
      <c r="C224" s="5"/>
      <c r="D224" s="5" t="str">
        <f aca="false">IF(C224="","",IFERROR(INDEX(Clients!$B:$B,MATCH(C224,Clients!$A:$A,0)),"Check client ID"))</f>
        <v/>
      </c>
      <c r="E224" s="5"/>
      <c r="F224" s="5"/>
      <c r="G224" s="5"/>
      <c r="H224" s="15"/>
      <c r="I224" s="15"/>
      <c r="J224" s="13"/>
      <c r="K224" s="13"/>
      <c r="L224" s="5"/>
      <c r="M224" s="5"/>
    </row>
    <row r="225" customFormat="false" ht="15" hidden="false" customHeight="false" outlineLevel="0" collapsed="false">
      <c r="A225" s="5"/>
      <c r="B225" s="13"/>
      <c r="C225" s="5"/>
      <c r="D225" s="5" t="str">
        <f aca="false">IF(C225="","",IFERROR(INDEX(Clients!$B:$B,MATCH(C225,Clients!$A:$A,0)),"Check client ID"))</f>
        <v/>
      </c>
      <c r="E225" s="5"/>
      <c r="F225" s="5"/>
      <c r="G225" s="5"/>
      <c r="H225" s="15"/>
      <c r="I225" s="15"/>
      <c r="J225" s="13"/>
      <c r="K225" s="13"/>
      <c r="L225" s="5"/>
      <c r="M225" s="5"/>
    </row>
    <row r="226" customFormat="false" ht="15" hidden="false" customHeight="false" outlineLevel="0" collapsed="false">
      <c r="A226" s="5"/>
      <c r="B226" s="13"/>
      <c r="C226" s="5"/>
      <c r="D226" s="5" t="str">
        <f aca="false">IF(C226="","",IFERROR(INDEX(Clients!$B:$B,MATCH(C226,Clients!$A:$A,0)),"Check client ID"))</f>
        <v/>
      </c>
      <c r="E226" s="5"/>
      <c r="F226" s="5"/>
      <c r="G226" s="5"/>
      <c r="H226" s="15"/>
      <c r="I226" s="15"/>
      <c r="J226" s="13"/>
      <c r="K226" s="13"/>
      <c r="L226" s="5"/>
      <c r="M226" s="5"/>
    </row>
    <row r="227" customFormat="false" ht="15" hidden="false" customHeight="false" outlineLevel="0" collapsed="false">
      <c r="A227" s="5"/>
      <c r="B227" s="13"/>
      <c r="C227" s="5"/>
      <c r="D227" s="5" t="str">
        <f aca="false">IF(C227="","",IFERROR(INDEX(Clients!$B:$B,MATCH(C227,Clients!$A:$A,0)),"Check client ID"))</f>
        <v/>
      </c>
      <c r="E227" s="5"/>
      <c r="F227" s="5"/>
      <c r="G227" s="5"/>
      <c r="H227" s="15"/>
      <c r="I227" s="15"/>
      <c r="J227" s="13"/>
      <c r="K227" s="13"/>
      <c r="L227" s="5"/>
      <c r="M227" s="5"/>
    </row>
    <row r="228" customFormat="false" ht="15" hidden="false" customHeight="false" outlineLevel="0" collapsed="false">
      <c r="A228" s="5"/>
      <c r="B228" s="13"/>
      <c r="C228" s="5"/>
      <c r="D228" s="5" t="str">
        <f aca="false">IF(C228="","",IFERROR(INDEX(Clients!$B:$B,MATCH(C228,Clients!$A:$A,0)),"Check client ID"))</f>
        <v/>
      </c>
      <c r="E228" s="5"/>
      <c r="F228" s="5"/>
      <c r="G228" s="5"/>
      <c r="H228" s="15"/>
      <c r="I228" s="15"/>
      <c r="J228" s="13"/>
      <c r="K228" s="13"/>
      <c r="L228" s="5"/>
      <c r="M228" s="5"/>
    </row>
    <row r="229" customFormat="false" ht="15" hidden="false" customHeight="false" outlineLevel="0" collapsed="false">
      <c r="A229" s="5"/>
      <c r="B229" s="13"/>
      <c r="C229" s="5"/>
      <c r="D229" s="5" t="str">
        <f aca="false">IF(C229="","",IFERROR(INDEX(Clients!$B:$B,MATCH(C229,Clients!$A:$A,0)),"Check client ID"))</f>
        <v/>
      </c>
      <c r="E229" s="5"/>
      <c r="F229" s="5"/>
      <c r="G229" s="5"/>
      <c r="H229" s="15"/>
      <c r="I229" s="15"/>
      <c r="J229" s="13"/>
      <c r="K229" s="13"/>
      <c r="L229" s="5"/>
      <c r="M229" s="5"/>
    </row>
    <row r="230" customFormat="false" ht="15" hidden="false" customHeight="false" outlineLevel="0" collapsed="false">
      <c r="A230" s="5"/>
      <c r="B230" s="13"/>
      <c r="C230" s="5"/>
      <c r="D230" s="5" t="str">
        <f aca="false">IF(C230="","",IFERROR(INDEX(Clients!$B:$B,MATCH(C230,Clients!$A:$A,0)),"Check client ID"))</f>
        <v/>
      </c>
      <c r="E230" s="5"/>
      <c r="F230" s="5"/>
      <c r="G230" s="5"/>
      <c r="H230" s="15"/>
      <c r="I230" s="15"/>
      <c r="J230" s="13"/>
      <c r="K230" s="13"/>
      <c r="L230" s="5"/>
      <c r="M230" s="5"/>
    </row>
    <row r="231" customFormat="false" ht="15" hidden="false" customHeight="false" outlineLevel="0" collapsed="false">
      <c r="A231" s="5"/>
      <c r="B231" s="13"/>
      <c r="C231" s="5"/>
      <c r="D231" s="5" t="str">
        <f aca="false">IF(C231="","",IFERROR(INDEX(Clients!$B:$B,MATCH(C231,Clients!$A:$A,0)),"Check client ID"))</f>
        <v/>
      </c>
      <c r="E231" s="5"/>
      <c r="F231" s="5"/>
      <c r="G231" s="5"/>
      <c r="H231" s="15"/>
      <c r="I231" s="15"/>
      <c r="J231" s="13"/>
      <c r="K231" s="13"/>
      <c r="L231" s="5"/>
      <c r="M231" s="5"/>
    </row>
    <row r="232" customFormat="false" ht="15" hidden="false" customHeight="false" outlineLevel="0" collapsed="false">
      <c r="A232" s="5"/>
      <c r="B232" s="13"/>
      <c r="C232" s="5"/>
      <c r="D232" s="5" t="str">
        <f aca="false">IF(C232="","",IFERROR(INDEX(Clients!$B:$B,MATCH(C232,Clients!$A:$A,0)),"Check client ID"))</f>
        <v/>
      </c>
      <c r="E232" s="5"/>
      <c r="F232" s="5"/>
      <c r="G232" s="5"/>
      <c r="H232" s="15"/>
      <c r="I232" s="15"/>
      <c r="J232" s="13"/>
      <c r="K232" s="13"/>
      <c r="L232" s="5"/>
      <c r="M232" s="5"/>
    </row>
    <row r="233" customFormat="false" ht="15" hidden="false" customHeight="false" outlineLevel="0" collapsed="false">
      <c r="A233" s="5"/>
      <c r="B233" s="13"/>
      <c r="C233" s="5"/>
      <c r="D233" s="5" t="str">
        <f aca="false">IF(C233="","",IFERROR(INDEX(Clients!$B:$B,MATCH(C233,Clients!$A:$A,0)),"Check client ID"))</f>
        <v/>
      </c>
      <c r="E233" s="5"/>
      <c r="F233" s="5"/>
      <c r="G233" s="5"/>
      <c r="H233" s="15"/>
      <c r="I233" s="15"/>
      <c r="J233" s="13"/>
      <c r="K233" s="13"/>
      <c r="L233" s="5"/>
      <c r="M233" s="5"/>
    </row>
    <row r="234" customFormat="false" ht="15" hidden="false" customHeight="false" outlineLevel="0" collapsed="false">
      <c r="A234" s="5"/>
      <c r="B234" s="13"/>
      <c r="C234" s="5"/>
      <c r="D234" s="5" t="str">
        <f aca="false">IF(C234="","",IFERROR(INDEX(Clients!$B:$B,MATCH(C234,Clients!$A:$A,0)),"Check client ID"))</f>
        <v/>
      </c>
      <c r="E234" s="5"/>
      <c r="F234" s="5"/>
      <c r="G234" s="5"/>
      <c r="H234" s="15"/>
      <c r="I234" s="15"/>
      <c r="J234" s="13"/>
      <c r="K234" s="13"/>
      <c r="L234" s="5"/>
      <c r="M234" s="5"/>
    </row>
    <row r="235" customFormat="false" ht="15" hidden="false" customHeight="false" outlineLevel="0" collapsed="false">
      <c r="A235" s="5"/>
      <c r="B235" s="13"/>
      <c r="C235" s="5"/>
      <c r="D235" s="5" t="str">
        <f aca="false">IF(C235="","",IFERROR(INDEX(Clients!$B:$B,MATCH(C235,Clients!$A:$A,0)),"Check client ID"))</f>
        <v/>
      </c>
      <c r="E235" s="5"/>
      <c r="F235" s="5"/>
      <c r="G235" s="5"/>
      <c r="H235" s="15"/>
      <c r="I235" s="15"/>
      <c r="J235" s="13"/>
      <c r="K235" s="13"/>
      <c r="L235" s="5"/>
      <c r="M235" s="5"/>
    </row>
    <row r="236" customFormat="false" ht="15" hidden="false" customHeight="false" outlineLevel="0" collapsed="false">
      <c r="A236" s="5"/>
      <c r="B236" s="13"/>
      <c r="C236" s="5"/>
      <c r="D236" s="5" t="str">
        <f aca="false">IF(C236="","",IFERROR(INDEX(Clients!$B:$B,MATCH(C236,Clients!$A:$A,0)),"Check client ID"))</f>
        <v/>
      </c>
      <c r="E236" s="5"/>
      <c r="F236" s="5"/>
      <c r="G236" s="5"/>
      <c r="H236" s="15"/>
      <c r="I236" s="15"/>
      <c r="J236" s="13"/>
      <c r="K236" s="13"/>
      <c r="L236" s="5"/>
      <c r="M236" s="5"/>
    </row>
    <row r="237" customFormat="false" ht="15" hidden="false" customHeight="false" outlineLevel="0" collapsed="false">
      <c r="A237" s="5"/>
      <c r="B237" s="13"/>
      <c r="C237" s="5"/>
      <c r="D237" s="5" t="str">
        <f aca="false">IF(C237="","",IFERROR(INDEX(Clients!$B:$B,MATCH(C237,Clients!$A:$A,0)),"Check client ID"))</f>
        <v/>
      </c>
      <c r="E237" s="5"/>
      <c r="F237" s="5"/>
      <c r="G237" s="5"/>
      <c r="H237" s="15"/>
      <c r="I237" s="15"/>
      <c r="J237" s="13"/>
      <c r="K237" s="13"/>
      <c r="L237" s="5"/>
      <c r="M237" s="5"/>
    </row>
    <row r="238" customFormat="false" ht="15" hidden="false" customHeight="false" outlineLevel="0" collapsed="false">
      <c r="A238" s="5"/>
      <c r="B238" s="13"/>
      <c r="C238" s="5"/>
      <c r="D238" s="5" t="str">
        <f aca="false">IF(C238="","",IFERROR(INDEX(Clients!$B:$B,MATCH(C238,Clients!$A:$A,0)),"Check client ID"))</f>
        <v/>
      </c>
      <c r="E238" s="5"/>
      <c r="F238" s="5"/>
      <c r="G238" s="5"/>
      <c r="H238" s="15"/>
      <c r="I238" s="15"/>
      <c r="J238" s="13"/>
      <c r="K238" s="13"/>
      <c r="L238" s="5"/>
      <c r="M238" s="5"/>
    </row>
    <row r="239" customFormat="false" ht="15" hidden="false" customHeight="false" outlineLevel="0" collapsed="false">
      <c r="A239" s="5"/>
      <c r="B239" s="13"/>
      <c r="C239" s="5"/>
      <c r="D239" s="5" t="str">
        <f aca="false">IF(C239="","",IFERROR(INDEX(Clients!$B:$B,MATCH(C239,Clients!$A:$A,0)),"Check client ID"))</f>
        <v/>
      </c>
      <c r="E239" s="5"/>
      <c r="F239" s="5"/>
      <c r="G239" s="5"/>
      <c r="H239" s="15"/>
      <c r="I239" s="15"/>
      <c r="J239" s="13"/>
      <c r="K239" s="13"/>
      <c r="L239" s="5"/>
      <c r="M239" s="5"/>
    </row>
    <row r="240" customFormat="false" ht="15" hidden="false" customHeight="false" outlineLevel="0" collapsed="false">
      <c r="A240" s="5"/>
      <c r="B240" s="13"/>
      <c r="C240" s="5"/>
      <c r="D240" s="5" t="str">
        <f aca="false">IF(C240="","",IFERROR(INDEX(Clients!$B:$B,MATCH(C240,Clients!$A:$A,0)),"Check client ID"))</f>
        <v/>
      </c>
      <c r="E240" s="5"/>
      <c r="F240" s="5"/>
      <c r="G240" s="5"/>
      <c r="H240" s="15"/>
      <c r="I240" s="15"/>
      <c r="J240" s="13"/>
      <c r="K240" s="13"/>
      <c r="L240" s="5"/>
      <c r="M240" s="5"/>
    </row>
    <row r="241" customFormat="false" ht="15" hidden="false" customHeight="false" outlineLevel="0" collapsed="false">
      <c r="A241" s="5"/>
      <c r="B241" s="13"/>
      <c r="C241" s="5"/>
      <c r="D241" s="5" t="str">
        <f aca="false">IF(C241="","",IFERROR(INDEX(Clients!$B:$B,MATCH(C241,Clients!$A:$A,0)),"Check client ID"))</f>
        <v/>
      </c>
      <c r="E241" s="5"/>
      <c r="F241" s="5"/>
      <c r="G241" s="5"/>
      <c r="H241" s="15"/>
      <c r="I241" s="15"/>
      <c r="J241" s="13"/>
      <c r="K241" s="13"/>
      <c r="L241" s="5"/>
      <c r="M241" s="5"/>
    </row>
    <row r="242" customFormat="false" ht="15" hidden="false" customHeight="false" outlineLevel="0" collapsed="false">
      <c r="A242" s="5"/>
      <c r="B242" s="13"/>
      <c r="C242" s="5"/>
      <c r="D242" s="5" t="str">
        <f aca="false">IF(C242="","",IFERROR(INDEX(Clients!$B:$B,MATCH(C242,Clients!$A:$A,0)),"Check client ID"))</f>
        <v/>
      </c>
      <c r="E242" s="5"/>
      <c r="F242" s="5"/>
      <c r="G242" s="5"/>
      <c r="H242" s="15"/>
      <c r="I242" s="15"/>
      <c r="J242" s="13"/>
      <c r="K242" s="13"/>
      <c r="L242" s="5"/>
      <c r="M242" s="5"/>
    </row>
    <row r="243" customFormat="false" ht="15" hidden="false" customHeight="false" outlineLevel="0" collapsed="false">
      <c r="A243" s="5"/>
      <c r="B243" s="13"/>
      <c r="C243" s="5"/>
      <c r="D243" s="5" t="str">
        <f aca="false">IF(C243="","",IFERROR(INDEX(Clients!$B:$B,MATCH(C243,Clients!$A:$A,0)),"Check client ID"))</f>
        <v/>
      </c>
      <c r="E243" s="5"/>
      <c r="F243" s="5"/>
      <c r="G243" s="5"/>
      <c r="H243" s="15"/>
      <c r="I243" s="15"/>
      <c r="J243" s="13"/>
      <c r="K243" s="13"/>
      <c r="L243" s="5"/>
      <c r="M243" s="5"/>
    </row>
    <row r="244" customFormat="false" ht="15" hidden="false" customHeight="false" outlineLevel="0" collapsed="false">
      <c r="A244" s="5"/>
      <c r="B244" s="13"/>
      <c r="C244" s="5"/>
      <c r="D244" s="5" t="str">
        <f aca="false">IF(C244="","",IFERROR(INDEX(Clients!$B:$B,MATCH(C244,Clients!$A:$A,0)),"Check client ID"))</f>
        <v/>
      </c>
      <c r="E244" s="5"/>
      <c r="F244" s="5"/>
      <c r="G244" s="5"/>
      <c r="H244" s="15"/>
      <c r="I244" s="15"/>
      <c r="J244" s="13"/>
      <c r="K244" s="13"/>
      <c r="L244" s="5"/>
      <c r="M244" s="5"/>
    </row>
    <row r="245" customFormat="false" ht="15" hidden="false" customHeight="false" outlineLevel="0" collapsed="false">
      <c r="A245" s="5"/>
      <c r="B245" s="13"/>
      <c r="C245" s="5"/>
      <c r="D245" s="5" t="str">
        <f aca="false">IF(C245="","",IFERROR(INDEX(Clients!$B:$B,MATCH(C245,Clients!$A:$A,0)),"Check client ID"))</f>
        <v/>
      </c>
      <c r="E245" s="5"/>
      <c r="F245" s="5"/>
      <c r="G245" s="5"/>
      <c r="H245" s="15"/>
      <c r="I245" s="15"/>
      <c r="J245" s="13"/>
      <c r="K245" s="13"/>
      <c r="L245" s="5"/>
      <c r="M245" s="5"/>
    </row>
    <row r="246" customFormat="false" ht="15" hidden="false" customHeight="false" outlineLevel="0" collapsed="false">
      <c r="A246" s="5"/>
      <c r="B246" s="13"/>
      <c r="C246" s="5"/>
      <c r="D246" s="5" t="str">
        <f aca="false">IF(C246="","",IFERROR(INDEX(Clients!$B:$B,MATCH(C246,Clients!$A:$A,0)),"Check client ID"))</f>
        <v/>
      </c>
      <c r="E246" s="5"/>
      <c r="F246" s="5"/>
      <c r="G246" s="5"/>
      <c r="H246" s="15"/>
      <c r="I246" s="15"/>
      <c r="J246" s="13"/>
      <c r="K246" s="13"/>
      <c r="L246" s="5"/>
      <c r="M246" s="5"/>
    </row>
    <row r="247" customFormat="false" ht="15" hidden="false" customHeight="false" outlineLevel="0" collapsed="false">
      <c r="A247" s="5"/>
      <c r="B247" s="13"/>
      <c r="C247" s="5"/>
      <c r="D247" s="5" t="str">
        <f aca="false">IF(C247="","",IFERROR(INDEX(Clients!$B:$B,MATCH(C247,Clients!$A:$A,0)),"Check client ID"))</f>
        <v/>
      </c>
      <c r="E247" s="5"/>
      <c r="F247" s="5"/>
      <c r="G247" s="5"/>
      <c r="H247" s="15"/>
      <c r="I247" s="15"/>
      <c r="J247" s="13"/>
      <c r="K247" s="13"/>
      <c r="L247" s="5"/>
      <c r="M247" s="5"/>
    </row>
    <row r="248" customFormat="false" ht="15" hidden="false" customHeight="false" outlineLevel="0" collapsed="false">
      <c r="A248" s="5"/>
      <c r="B248" s="13"/>
      <c r="C248" s="5"/>
      <c r="D248" s="5" t="str">
        <f aca="false">IF(C248="","",IFERROR(INDEX(Clients!$B:$B,MATCH(C248,Clients!$A:$A,0)),"Check client ID"))</f>
        <v/>
      </c>
      <c r="E248" s="5"/>
      <c r="F248" s="5"/>
      <c r="G248" s="5"/>
      <c r="H248" s="15"/>
      <c r="I248" s="15"/>
      <c r="J248" s="13"/>
      <c r="K248" s="13"/>
      <c r="L248" s="5"/>
      <c r="M248" s="5"/>
    </row>
    <row r="249" customFormat="false" ht="15" hidden="false" customHeight="false" outlineLevel="0" collapsed="false">
      <c r="A249" s="5"/>
      <c r="B249" s="13"/>
      <c r="C249" s="5"/>
      <c r="D249" s="5" t="str">
        <f aca="false">IF(C249="","",IFERROR(INDEX(Clients!$B:$B,MATCH(C249,Clients!$A:$A,0)),"Check client ID"))</f>
        <v/>
      </c>
      <c r="E249" s="5"/>
      <c r="F249" s="5"/>
      <c r="G249" s="5"/>
      <c r="H249" s="15"/>
      <c r="I249" s="15"/>
      <c r="J249" s="13"/>
      <c r="K249" s="13"/>
      <c r="L249" s="5"/>
      <c r="M249" s="5"/>
    </row>
    <row r="250" customFormat="false" ht="15" hidden="false" customHeight="false" outlineLevel="0" collapsed="false">
      <c r="A250" s="5"/>
      <c r="B250" s="13"/>
      <c r="C250" s="5"/>
      <c r="D250" s="5" t="str">
        <f aca="false">IF(C250="","",IFERROR(INDEX(Clients!$B:$B,MATCH(C250,Clients!$A:$A,0)),"Check client ID"))</f>
        <v/>
      </c>
      <c r="E250" s="5"/>
      <c r="F250" s="5"/>
      <c r="G250" s="5"/>
      <c r="H250" s="15"/>
      <c r="I250" s="15"/>
      <c r="J250" s="13"/>
      <c r="K250" s="13"/>
      <c r="L250" s="5"/>
      <c r="M250" s="5"/>
    </row>
    <row r="251" customFormat="false" ht="15" hidden="false" customHeight="false" outlineLevel="0" collapsed="false">
      <c r="A251" s="5"/>
      <c r="B251" s="13"/>
      <c r="C251" s="5"/>
      <c r="D251" s="5" t="str">
        <f aca="false">IF(C251="","",IFERROR(INDEX(Clients!$B:$B,MATCH(C251,Clients!$A:$A,0)),"Check client ID"))</f>
        <v/>
      </c>
      <c r="E251" s="5"/>
      <c r="F251" s="5"/>
      <c r="G251" s="5"/>
      <c r="H251" s="15"/>
      <c r="I251" s="15"/>
      <c r="J251" s="13"/>
      <c r="K251" s="13"/>
      <c r="L251" s="5"/>
      <c r="M251" s="5"/>
    </row>
    <row r="252" customFormat="false" ht="15" hidden="false" customHeight="false" outlineLevel="0" collapsed="false">
      <c r="A252" s="5"/>
      <c r="B252" s="13"/>
      <c r="C252" s="5"/>
      <c r="D252" s="5" t="str">
        <f aca="false">IF(C252="","",IFERROR(INDEX(Clients!$B:$B,MATCH(C252,Clients!$A:$A,0)),"Check client ID"))</f>
        <v/>
      </c>
      <c r="E252" s="5"/>
      <c r="F252" s="5"/>
      <c r="G252" s="5"/>
      <c r="H252" s="15"/>
      <c r="I252" s="15"/>
      <c r="J252" s="13"/>
      <c r="K252" s="13"/>
      <c r="L252" s="5"/>
      <c r="M252" s="5"/>
    </row>
    <row r="253" customFormat="false" ht="15" hidden="false" customHeight="false" outlineLevel="0" collapsed="false">
      <c r="A253" s="5"/>
      <c r="B253" s="13"/>
      <c r="C253" s="5"/>
      <c r="D253" s="5" t="str">
        <f aca="false">IF(C253="","",IFERROR(INDEX(Clients!$B:$B,MATCH(C253,Clients!$A:$A,0)),"Check client ID"))</f>
        <v/>
      </c>
      <c r="E253" s="5"/>
      <c r="F253" s="5"/>
      <c r="G253" s="5"/>
      <c r="H253" s="15"/>
      <c r="I253" s="15"/>
      <c r="J253" s="13"/>
      <c r="K253" s="13"/>
      <c r="L253" s="5"/>
      <c r="M253" s="5"/>
    </row>
    <row r="254" customFormat="false" ht="15" hidden="false" customHeight="false" outlineLevel="0" collapsed="false">
      <c r="A254" s="5"/>
      <c r="B254" s="13"/>
      <c r="C254" s="5"/>
      <c r="D254" s="5" t="str">
        <f aca="false">IF(C254="","",IFERROR(INDEX(Clients!$B:$B,MATCH(C254,Clients!$A:$A,0)),"Check client ID"))</f>
        <v/>
      </c>
      <c r="E254" s="5"/>
      <c r="F254" s="5"/>
      <c r="G254" s="5"/>
      <c r="H254" s="15"/>
      <c r="I254" s="15"/>
      <c r="J254" s="13"/>
      <c r="K254" s="13"/>
      <c r="L254" s="5"/>
      <c r="M254" s="5"/>
    </row>
    <row r="255" customFormat="false" ht="15" hidden="false" customHeight="false" outlineLevel="0" collapsed="false">
      <c r="A255" s="5"/>
      <c r="B255" s="13"/>
      <c r="C255" s="5"/>
      <c r="D255" s="5" t="str">
        <f aca="false">IF(C255="","",IFERROR(INDEX(Clients!$B:$B,MATCH(C255,Clients!$A:$A,0)),"Check client ID"))</f>
        <v/>
      </c>
      <c r="E255" s="5"/>
      <c r="F255" s="5"/>
      <c r="G255" s="5"/>
      <c r="H255" s="15"/>
      <c r="I255" s="15"/>
      <c r="J255" s="13"/>
      <c r="K255" s="13"/>
      <c r="L255" s="5"/>
      <c r="M255" s="5"/>
    </row>
    <row r="256" customFormat="false" ht="15" hidden="false" customHeight="false" outlineLevel="0" collapsed="false">
      <c r="A256" s="5"/>
      <c r="B256" s="13"/>
      <c r="C256" s="5"/>
      <c r="D256" s="5" t="str">
        <f aca="false">IF(C256="","",IFERROR(INDEX(Clients!$B:$B,MATCH(C256,Clients!$A:$A,0)),"Check client ID"))</f>
        <v/>
      </c>
      <c r="E256" s="5"/>
      <c r="F256" s="5"/>
      <c r="G256" s="5"/>
      <c r="H256" s="15"/>
      <c r="I256" s="15"/>
      <c r="J256" s="13"/>
      <c r="K256" s="13"/>
      <c r="L256" s="5"/>
      <c r="M256" s="5"/>
    </row>
    <row r="257" customFormat="false" ht="15" hidden="false" customHeight="false" outlineLevel="0" collapsed="false">
      <c r="A257" s="5"/>
      <c r="B257" s="13"/>
      <c r="C257" s="5"/>
      <c r="D257" s="5" t="str">
        <f aca="false">IF(C257="","",IFERROR(INDEX(Clients!$B:$B,MATCH(C257,Clients!$A:$A,0)),"Check client ID"))</f>
        <v/>
      </c>
      <c r="E257" s="5"/>
      <c r="F257" s="5"/>
      <c r="G257" s="5"/>
      <c r="H257" s="15"/>
      <c r="I257" s="15"/>
      <c r="J257" s="13"/>
      <c r="K257" s="13"/>
      <c r="L257" s="5"/>
      <c r="M257" s="5"/>
    </row>
    <row r="258" customFormat="false" ht="15" hidden="false" customHeight="false" outlineLevel="0" collapsed="false">
      <c r="A258" s="5"/>
      <c r="B258" s="13"/>
      <c r="C258" s="5"/>
      <c r="D258" s="5" t="str">
        <f aca="false">IF(C258="","",IFERROR(INDEX(Clients!$B:$B,MATCH(C258,Clients!$A:$A,0)),"Check client ID"))</f>
        <v/>
      </c>
      <c r="E258" s="5"/>
      <c r="F258" s="5"/>
      <c r="G258" s="5"/>
      <c r="H258" s="15"/>
      <c r="I258" s="15"/>
      <c r="J258" s="13"/>
      <c r="K258" s="13"/>
      <c r="L258" s="5"/>
      <c r="M258" s="5"/>
    </row>
    <row r="259" customFormat="false" ht="15" hidden="false" customHeight="false" outlineLevel="0" collapsed="false">
      <c r="A259" s="5"/>
      <c r="B259" s="13"/>
      <c r="C259" s="5"/>
      <c r="D259" s="5" t="str">
        <f aca="false">IF(C259="","",IFERROR(INDEX(Clients!$B:$B,MATCH(C259,Clients!$A:$A,0)),"Check client ID"))</f>
        <v/>
      </c>
      <c r="E259" s="5"/>
      <c r="F259" s="5"/>
      <c r="G259" s="5"/>
      <c r="H259" s="15"/>
      <c r="I259" s="15"/>
      <c r="J259" s="13"/>
      <c r="K259" s="13"/>
      <c r="L259" s="5"/>
      <c r="M259" s="5"/>
    </row>
    <row r="260" customFormat="false" ht="15" hidden="false" customHeight="false" outlineLevel="0" collapsed="false">
      <c r="A260" s="5"/>
      <c r="B260" s="13"/>
      <c r="C260" s="5"/>
      <c r="D260" s="5" t="str">
        <f aca="false">IF(C260="","",IFERROR(INDEX(Clients!$B:$B,MATCH(C260,Clients!$A:$A,0)),"Check client ID"))</f>
        <v/>
      </c>
      <c r="E260" s="5"/>
      <c r="F260" s="5"/>
      <c r="G260" s="5"/>
      <c r="H260" s="15"/>
      <c r="I260" s="15"/>
      <c r="J260" s="13"/>
      <c r="K260" s="13"/>
      <c r="L260" s="5"/>
      <c r="M260" s="5"/>
    </row>
    <row r="261" customFormat="false" ht="15" hidden="false" customHeight="false" outlineLevel="0" collapsed="false">
      <c r="A261" s="5"/>
      <c r="B261" s="13"/>
      <c r="C261" s="5"/>
      <c r="D261" s="5" t="str">
        <f aca="false">IF(C261="","",IFERROR(INDEX(Clients!$B:$B,MATCH(C261,Clients!$A:$A,0)),"Check client ID"))</f>
        <v/>
      </c>
      <c r="E261" s="5"/>
      <c r="F261" s="5"/>
      <c r="G261" s="5"/>
      <c r="H261" s="15"/>
      <c r="I261" s="15"/>
      <c r="J261" s="13"/>
      <c r="K261" s="13"/>
      <c r="L261" s="5"/>
      <c r="M261" s="5"/>
    </row>
    <row r="262" customFormat="false" ht="15" hidden="false" customHeight="false" outlineLevel="0" collapsed="false">
      <c r="A262" s="5"/>
      <c r="B262" s="13"/>
      <c r="C262" s="5"/>
      <c r="D262" s="5" t="str">
        <f aca="false">IF(C262="","",IFERROR(INDEX(Clients!$B:$B,MATCH(C262,Clients!$A:$A,0)),"Check client ID"))</f>
        <v/>
      </c>
      <c r="E262" s="5"/>
      <c r="F262" s="5"/>
      <c r="G262" s="5"/>
      <c r="H262" s="15"/>
      <c r="I262" s="15"/>
      <c r="J262" s="13"/>
      <c r="K262" s="13"/>
      <c r="L262" s="5"/>
      <c r="M262" s="5"/>
    </row>
    <row r="263" customFormat="false" ht="15" hidden="false" customHeight="false" outlineLevel="0" collapsed="false">
      <c r="A263" s="5"/>
      <c r="B263" s="13"/>
      <c r="C263" s="5"/>
      <c r="D263" s="5" t="str">
        <f aca="false">IF(C263="","",IFERROR(INDEX(Clients!$B:$B,MATCH(C263,Clients!$A:$A,0)),"Check client ID"))</f>
        <v/>
      </c>
      <c r="E263" s="5"/>
      <c r="F263" s="5"/>
      <c r="G263" s="5"/>
      <c r="H263" s="15"/>
      <c r="I263" s="15"/>
      <c r="J263" s="13"/>
      <c r="K263" s="13"/>
      <c r="L263" s="5"/>
      <c r="M263" s="5"/>
    </row>
    <row r="264" customFormat="false" ht="15" hidden="false" customHeight="false" outlineLevel="0" collapsed="false">
      <c r="A264" s="5"/>
      <c r="B264" s="13"/>
      <c r="C264" s="5"/>
      <c r="D264" s="5" t="str">
        <f aca="false">IF(C264="","",IFERROR(INDEX(Clients!$B:$B,MATCH(C264,Clients!$A:$A,0)),"Check client ID"))</f>
        <v/>
      </c>
      <c r="E264" s="5"/>
      <c r="F264" s="5"/>
      <c r="G264" s="5"/>
      <c r="H264" s="15"/>
      <c r="I264" s="15"/>
      <c r="J264" s="13"/>
      <c r="K264" s="13"/>
      <c r="L264" s="5"/>
      <c r="M264" s="5"/>
    </row>
    <row r="265" customFormat="false" ht="15" hidden="false" customHeight="false" outlineLevel="0" collapsed="false">
      <c r="A265" s="5"/>
      <c r="B265" s="13"/>
      <c r="C265" s="5"/>
      <c r="D265" s="5" t="str">
        <f aca="false">IF(C265="","",IFERROR(INDEX(Clients!$B:$B,MATCH(C265,Clients!$A:$A,0)),"Check client ID"))</f>
        <v/>
      </c>
      <c r="E265" s="5"/>
      <c r="F265" s="5"/>
      <c r="G265" s="5"/>
      <c r="H265" s="15"/>
      <c r="I265" s="15"/>
      <c r="J265" s="13"/>
      <c r="K265" s="13"/>
      <c r="L265" s="5"/>
      <c r="M265" s="5"/>
    </row>
    <row r="266" customFormat="false" ht="15" hidden="false" customHeight="false" outlineLevel="0" collapsed="false">
      <c r="A266" s="5"/>
      <c r="B266" s="13"/>
      <c r="C266" s="5"/>
      <c r="D266" s="5" t="str">
        <f aca="false">IF(C266="","",IFERROR(INDEX(Clients!$B:$B,MATCH(C266,Clients!$A:$A,0)),"Check client ID"))</f>
        <v/>
      </c>
      <c r="E266" s="5"/>
      <c r="F266" s="5"/>
      <c r="G266" s="5"/>
      <c r="H266" s="15"/>
      <c r="I266" s="15"/>
      <c r="J266" s="13"/>
      <c r="K266" s="13"/>
      <c r="L266" s="5"/>
      <c r="M266" s="5"/>
    </row>
    <row r="267" customFormat="false" ht="15" hidden="false" customHeight="false" outlineLevel="0" collapsed="false">
      <c r="A267" s="5"/>
      <c r="B267" s="13"/>
      <c r="C267" s="5"/>
      <c r="D267" s="5" t="str">
        <f aca="false">IF(C267="","",IFERROR(INDEX(Clients!$B:$B,MATCH(C267,Clients!$A:$A,0)),"Check client ID"))</f>
        <v/>
      </c>
      <c r="E267" s="5"/>
      <c r="F267" s="5"/>
      <c r="G267" s="5"/>
      <c r="H267" s="15"/>
      <c r="I267" s="15"/>
      <c r="J267" s="13"/>
      <c r="K267" s="13"/>
      <c r="L267" s="5"/>
      <c r="M267" s="5"/>
    </row>
    <row r="268" customFormat="false" ht="15" hidden="false" customHeight="false" outlineLevel="0" collapsed="false">
      <c r="A268" s="5"/>
      <c r="B268" s="13"/>
      <c r="C268" s="5"/>
      <c r="D268" s="5" t="str">
        <f aca="false">IF(C268="","",IFERROR(INDEX(Clients!$B:$B,MATCH(C268,Clients!$A:$A,0)),"Check client ID"))</f>
        <v/>
      </c>
      <c r="E268" s="5"/>
      <c r="F268" s="5"/>
      <c r="G268" s="5"/>
      <c r="H268" s="15"/>
      <c r="I268" s="15"/>
      <c r="J268" s="13"/>
      <c r="K268" s="13"/>
      <c r="L268" s="5"/>
      <c r="M268" s="5"/>
    </row>
    <row r="269" customFormat="false" ht="15" hidden="false" customHeight="false" outlineLevel="0" collapsed="false">
      <c r="A269" s="5"/>
      <c r="B269" s="13"/>
      <c r="C269" s="5"/>
      <c r="D269" s="5" t="str">
        <f aca="false">IF(C269="","",IFERROR(INDEX(Clients!$B:$B,MATCH(C269,Clients!$A:$A,0)),"Check client ID"))</f>
        <v/>
      </c>
      <c r="E269" s="5"/>
      <c r="F269" s="5"/>
      <c r="G269" s="5"/>
      <c r="H269" s="15"/>
      <c r="I269" s="15"/>
      <c r="J269" s="13"/>
      <c r="K269" s="13"/>
      <c r="L269" s="5"/>
      <c r="M269" s="5"/>
    </row>
    <row r="270" customFormat="false" ht="15" hidden="false" customHeight="false" outlineLevel="0" collapsed="false">
      <c r="A270" s="5"/>
      <c r="B270" s="13"/>
      <c r="C270" s="5"/>
      <c r="D270" s="5" t="str">
        <f aca="false">IF(C270="","",IFERROR(INDEX(Clients!$B:$B,MATCH(C270,Clients!$A:$A,0)),"Check client ID"))</f>
        <v/>
      </c>
      <c r="E270" s="5"/>
      <c r="F270" s="5"/>
      <c r="G270" s="5"/>
      <c r="H270" s="15"/>
      <c r="I270" s="15"/>
      <c r="J270" s="13"/>
      <c r="K270" s="13"/>
      <c r="L270" s="5"/>
      <c r="M270" s="5"/>
    </row>
    <row r="271" customFormat="false" ht="15" hidden="false" customHeight="false" outlineLevel="0" collapsed="false">
      <c r="A271" s="5"/>
      <c r="B271" s="13"/>
      <c r="C271" s="5"/>
      <c r="D271" s="5" t="str">
        <f aca="false">IF(C271="","",IFERROR(INDEX(Clients!$B:$B,MATCH(C271,Clients!$A:$A,0)),"Check client ID"))</f>
        <v/>
      </c>
      <c r="E271" s="5"/>
      <c r="F271" s="5"/>
      <c r="G271" s="5"/>
      <c r="H271" s="15"/>
      <c r="I271" s="15"/>
      <c r="J271" s="13"/>
      <c r="K271" s="13"/>
      <c r="L271" s="5"/>
      <c r="M271" s="5"/>
    </row>
    <row r="272" customFormat="false" ht="15" hidden="false" customHeight="false" outlineLevel="0" collapsed="false">
      <c r="A272" s="5"/>
      <c r="B272" s="13"/>
      <c r="C272" s="5"/>
      <c r="D272" s="5" t="str">
        <f aca="false">IF(C272="","",IFERROR(INDEX(Clients!$B:$B,MATCH(C272,Clients!$A:$A,0)),"Check client ID"))</f>
        <v/>
      </c>
      <c r="E272" s="5"/>
      <c r="F272" s="5"/>
      <c r="G272" s="5"/>
      <c r="H272" s="15"/>
      <c r="I272" s="15"/>
      <c r="J272" s="13"/>
      <c r="K272" s="13"/>
      <c r="L272" s="5"/>
      <c r="M272" s="5"/>
    </row>
    <row r="273" customFormat="false" ht="15" hidden="false" customHeight="false" outlineLevel="0" collapsed="false">
      <c r="A273" s="5"/>
      <c r="B273" s="13"/>
      <c r="C273" s="5"/>
      <c r="D273" s="5" t="str">
        <f aca="false">IF(C273="","",IFERROR(INDEX(Clients!$B:$B,MATCH(C273,Clients!$A:$A,0)),"Check client ID"))</f>
        <v/>
      </c>
      <c r="E273" s="5"/>
      <c r="F273" s="5"/>
      <c r="G273" s="5"/>
      <c r="H273" s="15"/>
      <c r="I273" s="15"/>
      <c r="J273" s="13"/>
      <c r="K273" s="13"/>
      <c r="L273" s="5"/>
      <c r="M273" s="5"/>
    </row>
    <row r="274" customFormat="false" ht="15" hidden="false" customHeight="false" outlineLevel="0" collapsed="false">
      <c r="A274" s="5"/>
      <c r="B274" s="13"/>
      <c r="C274" s="5"/>
      <c r="D274" s="5" t="str">
        <f aca="false">IF(C274="","",IFERROR(INDEX(Clients!$B:$B,MATCH(C274,Clients!$A:$A,0)),"Check client ID"))</f>
        <v/>
      </c>
      <c r="E274" s="5"/>
      <c r="F274" s="5"/>
      <c r="G274" s="5"/>
      <c r="H274" s="15"/>
      <c r="I274" s="15"/>
      <c r="J274" s="13"/>
      <c r="K274" s="13"/>
      <c r="L274" s="5"/>
      <c r="M274" s="5"/>
    </row>
    <row r="275" customFormat="false" ht="15" hidden="false" customHeight="false" outlineLevel="0" collapsed="false">
      <c r="A275" s="5"/>
      <c r="B275" s="13"/>
      <c r="C275" s="5"/>
      <c r="D275" s="5" t="str">
        <f aca="false">IF(C275="","",IFERROR(INDEX(Clients!$B:$B,MATCH(C275,Clients!$A:$A,0)),"Check client ID"))</f>
        <v/>
      </c>
      <c r="E275" s="5"/>
      <c r="F275" s="5"/>
      <c r="G275" s="5"/>
      <c r="H275" s="15"/>
      <c r="I275" s="15"/>
      <c r="J275" s="13"/>
      <c r="K275" s="13"/>
      <c r="L275" s="5"/>
      <c r="M275" s="5"/>
    </row>
    <row r="276" customFormat="false" ht="15" hidden="false" customHeight="false" outlineLevel="0" collapsed="false">
      <c r="A276" s="5"/>
      <c r="B276" s="13"/>
      <c r="C276" s="5"/>
      <c r="D276" s="5" t="str">
        <f aca="false">IF(C276="","",IFERROR(INDEX(Clients!$B:$B,MATCH(C276,Clients!$A:$A,0)),"Check client ID"))</f>
        <v/>
      </c>
      <c r="E276" s="5"/>
      <c r="F276" s="5"/>
      <c r="G276" s="5"/>
      <c r="H276" s="15"/>
      <c r="I276" s="15"/>
      <c r="J276" s="13"/>
      <c r="K276" s="13"/>
      <c r="L276" s="5"/>
      <c r="M276" s="5"/>
    </row>
    <row r="277" customFormat="false" ht="15" hidden="false" customHeight="false" outlineLevel="0" collapsed="false">
      <c r="A277" s="5"/>
      <c r="B277" s="13"/>
      <c r="C277" s="5"/>
      <c r="D277" s="5" t="str">
        <f aca="false">IF(C277="","",IFERROR(INDEX(Clients!$B:$B,MATCH(C277,Clients!$A:$A,0)),"Check client ID"))</f>
        <v/>
      </c>
      <c r="E277" s="5"/>
      <c r="F277" s="5"/>
      <c r="G277" s="5"/>
      <c r="H277" s="15"/>
      <c r="I277" s="15"/>
      <c r="J277" s="13"/>
      <c r="K277" s="13"/>
      <c r="L277" s="5"/>
      <c r="M277" s="5"/>
    </row>
    <row r="278" customFormat="false" ht="15" hidden="false" customHeight="false" outlineLevel="0" collapsed="false">
      <c r="A278" s="5"/>
      <c r="B278" s="13"/>
      <c r="C278" s="5"/>
      <c r="D278" s="5" t="str">
        <f aca="false">IF(C278="","",IFERROR(INDEX(Clients!$B:$B,MATCH(C278,Clients!$A:$A,0)),"Check client ID"))</f>
        <v/>
      </c>
      <c r="E278" s="5"/>
      <c r="F278" s="5"/>
      <c r="G278" s="5"/>
      <c r="H278" s="15"/>
      <c r="I278" s="15"/>
      <c r="J278" s="13"/>
      <c r="K278" s="13"/>
      <c r="L278" s="5"/>
      <c r="M278" s="5"/>
    </row>
    <row r="279" customFormat="false" ht="15" hidden="false" customHeight="false" outlineLevel="0" collapsed="false">
      <c r="A279" s="5"/>
      <c r="B279" s="13"/>
      <c r="C279" s="5"/>
      <c r="D279" s="5" t="str">
        <f aca="false">IF(C279="","",IFERROR(INDEX(Clients!$B:$B,MATCH(C279,Clients!$A:$A,0)),"Check client ID"))</f>
        <v/>
      </c>
      <c r="E279" s="5"/>
      <c r="F279" s="5"/>
      <c r="G279" s="5"/>
      <c r="H279" s="15"/>
      <c r="I279" s="15"/>
      <c r="J279" s="13"/>
      <c r="K279" s="13"/>
      <c r="L279" s="5"/>
      <c r="M279" s="5"/>
    </row>
    <row r="280" customFormat="false" ht="15" hidden="false" customHeight="false" outlineLevel="0" collapsed="false">
      <c r="A280" s="5"/>
      <c r="B280" s="13"/>
      <c r="C280" s="5"/>
      <c r="D280" s="5" t="str">
        <f aca="false">IF(C280="","",IFERROR(INDEX(Clients!$B:$B,MATCH(C280,Clients!$A:$A,0)),"Check client ID"))</f>
        <v/>
      </c>
      <c r="E280" s="5"/>
      <c r="F280" s="5"/>
      <c r="G280" s="5"/>
      <c r="H280" s="15"/>
      <c r="I280" s="15"/>
      <c r="J280" s="13"/>
      <c r="K280" s="13"/>
      <c r="L280" s="5"/>
      <c r="M280" s="5"/>
    </row>
    <row r="281" customFormat="false" ht="15" hidden="false" customHeight="false" outlineLevel="0" collapsed="false">
      <c r="A281" s="5"/>
      <c r="B281" s="13"/>
      <c r="C281" s="5"/>
      <c r="D281" s="5" t="str">
        <f aca="false">IF(C281="","",IFERROR(INDEX(Clients!$B:$B,MATCH(C281,Clients!$A:$A,0)),"Check client ID"))</f>
        <v/>
      </c>
      <c r="E281" s="5"/>
      <c r="F281" s="5"/>
      <c r="G281" s="5"/>
      <c r="H281" s="15"/>
      <c r="I281" s="15"/>
      <c r="J281" s="13"/>
      <c r="K281" s="13"/>
      <c r="L281" s="5"/>
      <c r="M281" s="5"/>
    </row>
    <row r="282" customFormat="false" ht="15" hidden="false" customHeight="false" outlineLevel="0" collapsed="false">
      <c r="A282" s="5"/>
      <c r="B282" s="13"/>
      <c r="C282" s="5"/>
      <c r="D282" s="5" t="str">
        <f aca="false">IF(C282="","",IFERROR(INDEX(Clients!$B:$B,MATCH(C282,Clients!$A:$A,0)),"Check client ID"))</f>
        <v/>
      </c>
      <c r="E282" s="5"/>
      <c r="F282" s="5"/>
      <c r="G282" s="5"/>
      <c r="H282" s="15"/>
      <c r="I282" s="15"/>
      <c r="J282" s="13"/>
      <c r="K282" s="13"/>
      <c r="L282" s="5"/>
      <c r="M282" s="5"/>
    </row>
    <row r="283" customFormat="false" ht="15" hidden="false" customHeight="false" outlineLevel="0" collapsed="false">
      <c r="A283" s="5"/>
      <c r="B283" s="13"/>
      <c r="C283" s="5"/>
      <c r="D283" s="5" t="str">
        <f aca="false">IF(C283="","",IFERROR(INDEX(Clients!$B:$B,MATCH(C283,Clients!$A:$A,0)),"Check client ID"))</f>
        <v/>
      </c>
      <c r="E283" s="5"/>
      <c r="F283" s="5"/>
      <c r="G283" s="5"/>
      <c r="H283" s="15"/>
      <c r="I283" s="15"/>
      <c r="J283" s="13"/>
      <c r="K283" s="13"/>
      <c r="L283" s="5"/>
      <c r="M283" s="5"/>
    </row>
    <row r="284" customFormat="false" ht="15" hidden="false" customHeight="false" outlineLevel="0" collapsed="false">
      <c r="A284" s="5"/>
      <c r="B284" s="13"/>
      <c r="C284" s="5"/>
      <c r="D284" s="5" t="str">
        <f aca="false">IF(C284="","",IFERROR(INDEX(Clients!$B:$B,MATCH(C284,Clients!$A:$A,0)),"Check client ID"))</f>
        <v/>
      </c>
      <c r="E284" s="5"/>
      <c r="F284" s="5"/>
      <c r="G284" s="5"/>
      <c r="H284" s="15"/>
      <c r="I284" s="15"/>
      <c r="J284" s="13"/>
      <c r="K284" s="13"/>
      <c r="L284" s="5"/>
      <c r="M284" s="5"/>
    </row>
    <row r="285" customFormat="false" ht="15" hidden="false" customHeight="false" outlineLevel="0" collapsed="false">
      <c r="A285" s="5"/>
      <c r="B285" s="13"/>
      <c r="C285" s="5"/>
      <c r="D285" s="5" t="str">
        <f aca="false">IF(C285="","",IFERROR(INDEX(Clients!$B:$B,MATCH(C285,Clients!$A:$A,0)),"Check client ID"))</f>
        <v/>
      </c>
      <c r="E285" s="5"/>
      <c r="F285" s="5"/>
      <c r="G285" s="5"/>
      <c r="H285" s="15"/>
      <c r="I285" s="15"/>
      <c r="J285" s="13"/>
      <c r="K285" s="13"/>
      <c r="L285" s="5"/>
      <c r="M285" s="5"/>
    </row>
    <row r="286" customFormat="false" ht="15" hidden="false" customHeight="false" outlineLevel="0" collapsed="false">
      <c r="A286" s="5"/>
      <c r="B286" s="13"/>
      <c r="C286" s="5"/>
      <c r="D286" s="5" t="str">
        <f aca="false">IF(C286="","",IFERROR(INDEX(Clients!$B:$B,MATCH(C286,Clients!$A:$A,0)),"Check client ID"))</f>
        <v/>
      </c>
      <c r="E286" s="5"/>
      <c r="F286" s="5"/>
      <c r="G286" s="5"/>
      <c r="H286" s="15"/>
      <c r="I286" s="15"/>
      <c r="J286" s="13"/>
      <c r="K286" s="13"/>
      <c r="L286" s="5"/>
      <c r="M286" s="5"/>
    </row>
    <row r="287" customFormat="false" ht="15" hidden="false" customHeight="false" outlineLevel="0" collapsed="false">
      <c r="A287" s="5"/>
      <c r="B287" s="13"/>
      <c r="C287" s="5"/>
      <c r="D287" s="5" t="str">
        <f aca="false">IF(C287="","",IFERROR(INDEX(Clients!$B:$B,MATCH(C287,Clients!$A:$A,0)),"Check client ID"))</f>
        <v/>
      </c>
      <c r="E287" s="5"/>
      <c r="F287" s="5"/>
      <c r="G287" s="5"/>
      <c r="H287" s="15"/>
      <c r="I287" s="15"/>
      <c r="J287" s="13"/>
      <c r="K287" s="13"/>
      <c r="L287" s="5"/>
      <c r="M287" s="5"/>
    </row>
    <row r="288" customFormat="false" ht="15" hidden="false" customHeight="false" outlineLevel="0" collapsed="false">
      <c r="A288" s="5"/>
      <c r="B288" s="13"/>
      <c r="C288" s="5"/>
      <c r="D288" s="5" t="str">
        <f aca="false">IF(C288="","",IFERROR(INDEX(Clients!$B:$B,MATCH(C288,Clients!$A:$A,0)),"Check client ID"))</f>
        <v/>
      </c>
      <c r="E288" s="5"/>
      <c r="F288" s="5"/>
      <c r="G288" s="5"/>
      <c r="H288" s="15"/>
      <c r="I288" s="15"/>
      <c r="J288" s="13"/>
      <c r="K288" s="13"/>
      <c r="L288" s="5"/>
      <c r="M288" s="5"/>
    </row>
    <row r="289" customFormat="false" ht="15" hidden="false" customHeight="false" outlineLevel="0" collapsed="false">
      <c r="A289" s="5"/>
      <c r="B289" s="13"/>
      <c r="C289" s="5"/>
      <c r="D289" s="5" t="str">
        <f aca="false">IF(C289="","",IFERROR(INDEX(Clients!$B:$B,MATCH(C289,Clients!$A:$A,0)),"Check client ID"))</f>
        <v/>
      </c>
      <c r="E289" s="5"/>
      <c r="F289" s="5"/>
      <c r="G289" s="5"/>
      <c r="H289" s="15"/>
      <c r="I289" s="15"/>
      <c r="J289" s="13"/>
      <c r="K289" s="13"/>
      <c r="L289" s="5"/>
      <c r="M289" s="5"/>
    </row>
    <row r="290" customFormat="false" ht="15" hidden="false" customHeight="false" outlineLevel="0" collapsed="false">
      <c r="A290" s="5"/>
      <c r="B290" s="13"/>
      <c r="C290" s="5"/>
      <c r="D290" s="5" t="str">
        <f aca="false">IF(C290="","",IFERROR(INDEX(Clients!$B:$B,MATCH(C290,Clients!$A:$A,0)),"Check client ID"))</f>
        <v/>
      </c>
      <c r="E290" s="5"/>
      <c r="F290" s="5"/>
      <c r="G290" s="5"/>
      <c r="H290" s="15"/>
      <c r="I290" s="15"/>
      <c r="J290" s="13"/>
      <c r="K290" s="13"/>
      <c r="L290" s="5"/>
      <c r="M290" s="5"/>
    </row>
    <row r="291" customFormat="false" ht="15" hidden="false" customHeight="false" outlineLevel="0" collapsed="false">
      <c r="A291" s="5"/>
      <c r="B291" s="13"/>
      <c r="C291" s="5"/>
      <c r="D291" s="5" t="str">
        <f aca="false">IF(C291="","",IFERROR(INDEX(Clients!$B:$B,MATCH(C291,Clients!$A:$A,0)),"Check client ID"))</f>
        <v/>
      </c>
      <c r="E291" s="5"/>
      <c r="F291" s="5"/>
      <c r="G291" s="5"/>
      <c r="H291" s="15"/>
      <c r="I291" s="15"/>
      <c r="J291" s="13"/>
      <c r="K291" s="13"/>
      <c r="L291" s="5"/>
      <c r="M291" s="5"/>
    </row>
    <row r="292" customFormat="false" ht="15" hidden="false" customHeight="false" outlineLevel="0" collapsed="false">
      <c r="A292" s="5"/>
      <c r="B292" s="13"/>
      <c r="C292" s="5"/>
      <c r="D292" s="5" t="str">
        <f aca="false">IF(C292="","",IFERROR(INDEX(Clients!$B:$B,MATCH(C292,Clients!$A:$A,0)),"Check client ID"))</f>
        <v/>
      </c>
      <c r="E292" s="5"/>
      <c r="F292" s="5"/>
      <c r="G292" s="5"/>
      <c r="H292" s="15"/>
      <c r="I292" s="15"/>
      <c r="J292" s="13"/>
      <c r="K292" s="13"/>
      <c r="L292" s="5"/>
      <c r="M292" s="5"/>
    </row>
    <row r="293" customFormat="false" ht="15" hidden="false" customHeight="false" outlineLevel="0" collapsed="false">
      <c r="A293" s="5"/>
      <c r="B293" s="13"/>
      <c r="C293" s="5"/>
      <c r="D293" s="5" t="str">
        <f aca="false">IF(C293="","",IFERROR(INDEX(Clients!$B:$B,MATCH(C293,Clients!$A:$A,0)),"Check client ID"))</f>
        <v/>
      </c>
      <c r="E293" s="5"/>
      <c r="F293" s="5"/>
      <c r="G293" s="5"/>
      <c r="H293" s="15"/>
      <c r="I293" s="15"/>
      <c r="J293" s="13"/>
      <c r="K293" s="13"/>
      <c r="L293" s="5"/>
      <c r="M293" s="5"/>
    </row>
    <row r="294" customFormat="false" ht="15" hidden="false" customHeight="false" outlineLevel="0" collapsed="false">
      <c r="A294" s="5"/>
      <c r="B294" s="13"/>
      <c r="C294" s="5"/>
      <c r="D294" s="5" t="str">
        <f aca="false">IF(C294="","",IFERROR(INDEX(Clients!$B:$B,MATCH(C294,Clients!$A:$A,0)),"Check client ID"))</f>
        <v/>
      </c>
      <c r="E294" s="5"/>
      <c r="F294" s="5"/>
      <c r="G294" s="5"/>
      <c r="H294" s="15"/>
      <c r="I294" s="15"/>
      <c r="J294" s="13"/>
      <c r="K294" s="13"/>
      <c r="L294" s="5"/>
      <c r="M294" s="5"/>
    </row>
    <row r="295" customFormat="false" ht="15" hidden="false" customHeight="false" outlineLevel="0" collapsed="false">
      <c r="A295" s="5"/>
      <c r="B295" s="13"/>
      <c r="C295" s="5"/>
      <c r="D295" s="5" t="str">
        <f aca="false">IF(C295="","",IFERROR(INDEX(Clients!$B:$B,MATCH(C295,Clients!$A:$A,0)),"Check client ID"))</f>
        <v/>
      </c>
      <c r="E295" s="5"/>
      <c r="F295" s="5"/>
      <c r="G295" s="5"/>
      <c r="H295" s="15"/>
      <c r="I295" s="15"/>
      <c r="J295" s="13"/>
      <c r="K295" s="13"/>
      <c r="L295" s="5"/>
      <c r="M295" s="5"/>
    </row>
    <row r="296" customFormat="false" ht="15" hidden="false" customHeight="false" outlineLevel="0" collapsed="false">
      <c r="A296" s="5"/>
      <c r="B296" s="13"/>
      <c r="C296" s="5"/>
      <c r="D296" s="5" t="str">
        <f aca="false">IF(C296="","",IFERROR(INDEX(Clients!$B:$B,MATCH(C296,Clients!$A:$A,0)),"Check client ID"))</f>
        <v/>
      </c>
      <c r="E296" s="5"/>
      <c r="F296" s="5"/>
      <c r="G296" s="5"/>
      <c r="H296" s="15"/>
      <c r="I296" s="15"/>
      <c r="J296" s="13"/>
      <c r="K296" s="13"/>
      <c r="L296" s="5"/>
      <c r="M296" s="5"/>
    </row>
    <row r="297" customFormat="false" ht="15" hidden="false" customHeight="false" outlineLevel="0" collapsed="false">
      <c r="A297" s="5"/>
      <c r="B297" s="13"/>
      <c r="C297" s="5"/>
      <c r="D297" s="5" t="str">
        <f aca="false">IF(C297="","",IFERROR(INDEX(Clients!$B:$B,MATCH(C297,Clients!$A:$A,0)),"Check client ID"))</f>
        <v/>
      </c>
      <c r="E297" s="5"/>
      <c r="F297" s="5"/>
      <c r="G297" s="5"/>
      <c r="H297" s="15"/>
      <c r="I297" s="15"/>
      <c r="J297" s="13"/>
      <c r="K297" s="13"/>
      <c r="L297" s="5"/>
      <c r="M297" s="5"/>
    </row>
    <row r="298" customFormat="false" ht="15" hidden="false" customHeight="false" outlineLevel="0" collapsed="false">
      <c r="A298" s="5"/>
      <c r="B298" s="13"/>
      <c r="C298" s="5"/>
      <c r="D298" s="5" t="str">
        <f aca="false">IF(C298="","",IFERROR(INDEX(Clients!$B:$B,MATCH(C298,Clients!$A:$A,0)),"Check client ID"))</f>
        <v/>
      </c>
      <c r="E298" s="5"/>
      <c r="F298" s="5"/>
      <c r="G298" s="5"/>
      <c r="H298" s="15"/>
      <c r="I298" s="15"/>
      <c r="J298" s="13"/>
      <c r="K298" s="13"/>
      <c r="L298" s="5"/>
      <c r="M298" s="5"/>
    </row>
    <row r="299" customFormat="false" ht="15" hidden="false" customHeight="false" outlineLevel="0" collapsed="false">
      <c r="A299" s="5"/>
      <c r="B299" s="13"/>
      <c r="C299" s="5"/>
      <c r="D299" s="5" t="str">
        <f aca="false">IF(C299="","",IFERROR(INDEX(Clients!$B:$B,MATCH(C299,Clients!$A:$A,0)),"Check client ID"))</f>
        <v/>
      </c>
      <c r="E299" s="5"/>
      <c r="F299" s="5"/>
      <c r="G299" s="5"/>
      <c r="H299" s="15"/>
      <c r="I299" s="15"/>
      <c r="J299" s="13"/>
      <c r="K299" s="13"/>
      <c r="L299" s="5"/>
      <c r="M299" s="5"/>
    </row>
    <row r="300" customFormat="false" ht="15" hidden="false" customHeight="false" outlineLevel="0" collapsed="false">
      <c r="A300" s="5"/>
      <c r="B300" s="13"/>
      <c r="C300" s="5"/>
      <c r="D300" s="5" t="str">
        <f aca="false">IF(C300="","",IFERROR(INDEX(Clients!$B:$B,MATCH(C300,Clients!$A:$A,0)),"Check client ID"))</f>
        <v/>
      </c>
      <c r="E300" s="5"/>
      <c r="F300" s="5"/>
      <c r="G300" s="5"/>
      <c r="H300" s="15"/>
      <c r="I300" s="15"/>
      <c r="J300" s="13"/>
      <c r="K300" s="13"/>
      <c r="L300" s="5"/>
      <c r="M300" s="5"/>
    </row>
    <row r="301" customFormat="false" ht="15" hidden="false" customHeight="false" outlineLevel="0" collapsed="false">
      <c r="A301" s="5"/>
      <c r="B301" s="13"/>
      <c r="C301" s="5"/>
      <c r="D301" s="5" t="str">
        <f aca="false">IF(C301="","",IFERROR(INDEX(Clients!$B:$B,MATCH(C301,Clients!$A:$A,0)),"Check client ID"))</f>
        <v/>
      </c>
      <c r="E301" s="5"/>
      <c r="F301" s="5"/>
      <c r="G301" s="5"/>
      <c r="H301" s="15"/>
      <c r="I301" s="15"/>
      <c r="J301" s="13"/>
      <c r="K301" s="13"/>
      <c r="L301" s="5"/>
      <c r="M301" s="5"/>
    </row>
  </sheetData>
  <autoFilter ref="A1:M301"/>
  <conditionalFormatting sqref="A3:M301">
    <cfRule type="expression" priority="2" aboveAverage="0" equalAverage="0" bottom="0" percent="0" rank="0" text="" dxfId="4">
      <formula>AND($J3&lt;&gt;"",$J3&lt;TODAY(),$G3&lt;&gt;"Done",$G3&lt;&gt;"Cancelled")</formula>
    </cfRule>
  </conditionalFormatting>
  <dataValidations count="3">
    <dataValidation allowBlank="true" errorStyle="stop" operator="between" showDropDown="false" showErrorMessage="false" showInputMessage="false" sqref="E2:E301" type="list">
      <formula1>Lists!$A$2:$A$10</formula1>
      <formula2>0</formula2>
    </dataValidation>
    <dataValidation allowBlank="true" errorStyle="stop" operator="between" showDropDown="false" showErrorMessage="false" showInputMessage="false" sqref="G2:G301" type="list">
      <formula1>Lists!$B$2:$B$7</formula1>
      <formula2>0</formula2>
    </dataValidation>
    <dataValidation allowBlank="true" errorStyle="stop" operator="between" showDropDown="false" showErrorMessage="false" showInputMessage="false" sqref="L2:L301" type="list">
      <formula1>Lists!$G$2:$G$3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22"/>
  </cols>
  <sheetData>
    <row r="1" customFormat="false" ht="30" hidden="false" customHeight="true" outlineLevel="0" collapsed="false">
      <c r="A1" s="10" t="s">
        <v>67</v>
      </c>
      <c r="B1" s="10" t="s">
        <v>52</v>
      </c>
      <c r="C1" s="10" t="s">
        <v>51</v>
      </c>
      <c r="D1" s="10" t="s">
        <v>25</v>
      </c>
      <c r="E1" s="10" t="s">
        <v>68</v>
      </c>
      <c r="F1" s="10" t="s">
        <v>69</v>
      </c>
      <c r="G1" s="10" t="s">
        <v>70</v>
      </c>
      <c r="H1" s="10" t="s">
        <v>71</v>
      </c>
      <c r="I1" s="10" t="s">
        <v>56</v>
      </c>
      <c r="J1" s="10" t="s">
        <v>72</v>
      </c>
      <c r="K1" s="10" t="s">
        <v>73</v>
      </c>
      <c r="M1" s="16" t="s">
        <v>74</v>
      </c>
      <c r="N1" s="17" t="n">
        <v>0.18</v>
      </c>
    </row>
    <row r="2" customFormat="false" ht="15" hidden="false" customHeight="false" outlineLevel="0" collapsed="false">
      <c r="A2" s="11" t="s">
        <v>75</v>
      </c>
      <c r="B2" s="12" t="n">
        <v>46300</v>
      </c>
      <c r="C2" s="11" t="s">
        <v>63</v>
      </c>
      <c r="D2" s="11" t="s">
        <v>39</v>
      </c>
      <c r="E2" s="14" t="n">
        <v>1500</v>
      </c>
      <c r="F2" s="14" t="n">
        <f aca="false">IF(E2="","",ROUND(E2*$N$1,2))</f>
        <v>270</v>
      </c>
      <c r="G2" s="14" t="n">
        <f aca="false">IF(E2="","",E2+F2)</f>
        <v>1770</v>
      </c>
      <c r="H2" s="11" t="s">
        <v>76</v>
      </c>
      <c r="I2" s="11" t="s">
        <v>77</v>
      </c>
      <c r="J2" s="12" t="n">
        <v>46300</v>
      </c>
      <c r="K2" s="11" t="s">
        <v>78</v>
      </c>
      <c r="M2" s="2" t="s">
        <v>79</v>
      </c>
    </row>
    <row r="3" customFormat="false" ht="15" hidden="false" customHeight="false" outlineLevel="0" collapsed="false">
      <c r="A3" s="5"/>
      <c r="B3" s="13"/>
      <c r="C3" s="5"/>
      <c r="D3" s="5"/>
      <c r="E3" s="15"/>
      <c r="F3" s="15" t="str">
        <f aca="false">IF(E3="","",ROUND(E3*$N$1,2))</f>
        <v/>
      </c>
      <c r="G3" s="15" t="str">
        <f aca="false">IF(E3="","",E3+F3)</f>
        <v/>
      </c>
      <c r="H3" s="5"/>
      <c r="I3" s="5"/>
      <c r="J3" s="13"/>
      <c r="K3" s="5"/>
    </row>
    <row r="4" customFormat="false" ht="15" hidden="false" customHeight="false" outlineLevel="0" collapsed="false">
      <c r="A4" s="5"/>
      <c r="B4" s="13"/>
      <c r="C4" s="5"/>
      <c r="D4" s="5"/>
      <c r="E4" s="15"/>
      <c r="F4" s="15" t="str">
        <f aca="false">IF(E4="","",ROUND(E4*$N$1,2))</f>
        <v/>
      </c>
      <c r="G4" s="15" t="str">
        <f aca="false">IF(E4="","",E4+F4)</f>
        <v/>
      </c>
      <c r="H4" s="5"/>
      <c r="I4" s="5"/>
      <c r="J4" s="13"/>
      <c r="K4" s="5"/>
    </row>
    <row r="5" customFormat="false" ht="15" hidden="false" customHeight="false" outlineLevel="0" collapsed="false">
      <c r="A5" s="5"/>
      <c r="B5" s="13"/>
      <c r="C5" s="5"/>
      <c r="D5" s="5"/>
      <c r="E5" s="15"/>
      <c r="F5" s="15" t="str">
        <f aca="false">IF(E5="","",ROUND(E5*$N$1,2))</f>
        <v/>
      </c>
      <c r="G5" s="15" t="str">
        <f aca="false">IF(E5="","",E5+F5)</f>
        <v/>
      </c>
      <c r="H5" s="5"/>
      <c r="I5" s="5"/>
      <c r="J5" s="13"/>
      <c r="K5" s="5"/>
    </row>
    <row r="6" customFormat="false" ht="15" hidden="false" customHeight="false" outlineLevel="0" collapsed="false">
      <c r="A6" s="5"/>
      <c r="B6" s="13"/>
      <c r="C6" s="5"/>
      <c r="D6" s="5"/>
      <c r="E6" s="15"/>
      <c r="F6" s="15" t="str">
        <f aca="false">IF(E6="","",ROUND(E6*$N$1,2))</f>
        <v/>
      </c>
      <c r="G6" s="15" t="str">
        <f aca="false">IF(E6="","",E6+F6)</f>
        <v/>
      </c>
      <c r="H6" s="5"/>
      <c r="I6" s="5"/>
      <c r="J6" s="13"/>
      <c r="K6" s="5"/>
    </row>
    <row r="7" customFormat="false" ht="15" hidden="false" customHeight="false" outlineLevel="0" collapsed="false">
      <c r="A7" s="5"/>
      <c r="B7" s="13"/>
      <c r="C7" s="5"/>
      <c r="D7" s="5"/>
      <c r="E7" s="15"/>
      <c r="F7" s="15" t="str">
        <f aca="false">IF(E7="","",ROUND(E7*$N$1,2))</f>
        <v/>
      </c>
      <c r="G7" s="15" t="str">
        <f aca="false">IF(E7="","",E7+F7)</f>
        <v/>
      </c>
      <c r="H7" s="5"/>
      <c r="I7" s="5"/>
      <c r="J7" s="13"/>
      <c r="K7" s="5"/>
    </row>
    <row r="8" customFormat="false" ht="15" hidden="false" customHeight="false" outlineLevel="0" collapsed="false">
      <c r="A8" s="5"/>
      <c r="B8" s="13"/>
      <c r="C8" s="5"/>
      <c r="D8" s="5"/>
      <c r="E8" s="15"/>
      <c r="F8" s="15" t="str">
        <f aca="false">IF(E8="","",ROUND(E8*$N$1,2))</f>
        <v/>
      </c>
      <c r="G8" s="15" t="str">
        <f aca="false">IF(E8="","",E8+F8)</f>
        <v/>
      </c>
      <c r="H8" s="5"/>
      <c r="I8" s="5"/>
      <c r="J8" s="13"/>
      <c r="K8" s="5"/>
    </row>
    <row r="9" customFormat="false" ht="15" hidden="false" customHeight="false" outlineLevel="0" collapsed="false">
      <c r="A9" s="5"/>
      <c r="B9" s="13"/>
      <c r="C9" s="5"/>
      <c r="D9" s="5"/>
      <c r="E9" s="15"/>
      <c r="F9" s="15" t="str">
        <f aca="false">IF(E9="","",ROUND(E9*$N$1,2))</f>
        <v/>
      </c>
      <c r="G9" s="15" t="str">
        <f aca="false">IF(E9="","",E9+F9)</f>
        <v/>
      </c>
      <c r="H9" s="5"/>
      <c r="I9" s="5"/>
      <c r="J9" s="13"/>
      <c r="K9" s="5"/>
    </row>
    <row r="10" customFormat="false" ht="15" hidden="false" customHeight="false" outlineLevel="0" collapsed="false">
      <c r="A10" s="5"/>
      <c r="B10" s="13"/>
      <c r="C10" s="5"/>
      <c r="D10" s="5"/>
      <c r="E10" s="15"/>
      <c r="F10" s="15" t="str">
        <f aca="false">IF(E10="","",ROUND(E10*$N$1,2))</f>
        <v/>
      </c>
      <c r="G10" s="15" t="str">
        <f aca="false">IF(E10="","",E10+F10)</f>
        <v/>
      </c>
      <c r="H10" s="5"/>
      <c r="I10" s="5"/>
      <c r="J10" s="13"/>
      <c r="K10" s="5"/>
    </row>
    <row r="11" customFormat="false" ht="15" hidden="false" customHeight="false" outlineLevel="0" collapsed="false">
      <c r="A11" s="5"/>
      <c r="B11" s="13"/>
      <c r="C11" s="5"/>
      <c r="D11" s="5"/>
      <c r="E11" s="15"/>
      <c r="F11" s="15" t="str">
        <f aca="false">IF(E11="","",ROUND(E11*$N$1,2))</f>
        <v/>
      </c>
      <c r="G11" s="15" t="str">
        <f aca="false">IF(E11="","",E11+F11)</f>
        <v/>
      </c>
      <c r="H11" s="5"/>
      <c r="I11" s="5"/>
      <c r="J11" s="13"/>
      <c r="K11" s="5"/>
    </row>
    <row r="12" customFormat="false" ht="15" hidden="false" customHeight="false" outlineLevel="0" collapsed="false">
      <c r="A12" s="5"/>
      <c r="B12" s="13"/>
      <c r="C12" s="5"/>
      <c r="D12" s="5"/>
      <c r="E12" s="15"/>
      <c r="F12" s="15" t="str">
        <f aca="false">IF(E12="","",ROUND(E12*$N$1,2))</f>
        <v/>
      </c>
      <c r="G12" s="15" t="str">
        <f aca="false">IF(E12="","",E12+F12)</f>
        <v/>
      </c>
      <c r="H12" s="5"/>
      <c r="I12" s="5"/>
      <c r="J12" s="13"/>
      <c r="K12" s="5"/>
    </row>
    <row r="13" customFormat="false" ht="15" hidden="false" customHeight="false" outlineLevel="0" collapsed="false">
      <c r="A13" s="5"/>
      <c r="B13" s="13"/>
      <c r="C13" s="5"/>
      <c r="D13" s="5"/>
      <c r="E13" s="15"/>
      <c r="F13" s="15" t="str">
        <f aca="false">IF(E13="","",ROUND(E13*$N$1,2))</f>
        <v/>
      </c>
      <c r="G13" s="15" t="str">
        <f aca="false">IF(E13="","",E13+F13)</f>
        <v/>
      </c>
      <c r="H13" s="5"/>
      <c r="I13" s="5"/>
      <c r="J13" s="13"/>
      <c r="K13" s="5"/>
    </row>
    <row r="14" customFormat="false" ht="15" hidden="false" customHeight="false" outlineLevel="0" collapsed="false">
      <c r="A14" s="5"/>
      <c r="B14" s="13"/>
      <c r="C14" s="5"/>
      <c r="D14" s="5"/>
      <c r="E14" s="15"/>
      <c r="F14" s="15" t="str">
        <f aca="false">IF(E14="","",ROUND(E14*$N$1,2))</f>
        <v/>
      </c>
      <c r="G14" s="15" t="str">
        <f aca="false">IF(E14="","",E14+F14)</f>
        <v/>
      </c>
      <c r="H14" s="5"/>
      <c r="I14" s="5"/>
      <c r="J14" s="13"/>
      <c r="K14" s="5"/>
    </row>
    <row r="15" customFormat="false" ht="15" hidden="false" customHeight="false" outlineLevel="0" collapsed="false">
      <c r="A15" s="5"/>
      <c r="B15" s="13"/>
      <c r="C15" s="5"/>
      <c r="D15" s="5"/>
      <c r="E15" s="15"/>
      <c r="F15" s="15" t="str">
        <f aca="false">IF(E15="","",ROUND(E15*$N$1,2))</f>
        <v/>
      </c>
      <c r="G15" s="15" t="str">
        <f aca="false">IF(E15="","",E15+F15)</f>
        <v/>
      </c>
      <c r="H15" s="5"/>
      <c r="I15" s="5"/>
      <c r="J15" s="13"/>
      <c r="K15" s="5"/>
    </row>
    <row r="16" customFormat="false" ht="15" hidden="false" customHeight="false" outlineLevel="0" collapsed="false">
      <c r="A16" s="5"/>
      <c r="B16" s="13"/>
      <c r="C16" s="5"/>
      <c r="D16" s="5"/>
      <c r="E16" s="15"/>
      <c r="F16" s="15" t="str">
        <f aca="false">IF(E16="","",ROUND(E16*$N$1,2))</f>
        <v/>
      </c>
      <c r="G16" s="15" t="str">
        <f aca="false">IF(E16="","",E16+F16)</f>
        <v/>
      </c>
      <c r="H16" s="5"/>
      <c r="I16" s="5"/>
      <c r="J16" s="13"/>
      <c r="K16" s="5"/>
    </row>
    <row r="17" customFormat="false" ht="15" hidden="false" customHeight="false" outlineLevel="0" collapsed="false">
      <c r="A17" s="5"/>
      <c r="B17" s="13"/>
      <c r="C17" s="5"/>
      <c r="D17" s="5"/>
      <c r="E17" s="15"/>
      <c r="F17" s="15" t="str">
        <f aca="false">IF(E17="","",ROUND(E17*$N$1,2))</f>
        <v/>
      </c>
      <c r="G17" s="15" t="str">
        <f aca="false">IF(E17="","",E17+F17)</f>
        <v/>
      </c>
      <c r="H17" s="5"/>
      <c r="I17" s="5"/>
      <c r="J17" s="13"/>
      <c r="K17" s="5"/>
    </row>
    <row r="18" customFormat="false" ht="15" hidden="false" customHeight="false" outlineLevel="0" collapsed="false">
      <c r="A18" s="5"/>
      <c r="B18" s="13"/>
      <c r="C18" s="5"/>
      <c r="D18" s="5"/>
      <c r="E18" s="15"/>
      <c r="F18" s="15" t="str">
        <f aca="false">IF(E18="","",ROUND(E18*$N$1,2))</f>
        <v/>
      </c>
      <c r="G18" s="15" t="str">
        <f aca="false">IF(E18="","",E18+F18)</f>
        <v/>
      </c>
      <c r="H18" s="5"/>
      <c r="I18" s="5"/>
      <c r="J18" s="13"/>
      <c r="K18" s="5"/>
    </row>
    <row r="19" customFormat="false" ht="15" hidden="false" customHeight="false" outlineLevel="0" collapsed="false">
      <c r="A19" s="5"/>
      <c r="B19" s="13"/>
      <c r="C19" s="5"/>
      <c r="D19" s="5"/>
      <c r="E19" s="15"/>
      <c r="F19" s="15" t="str">
        <f aca="false">IF(E19="","",ROUND(E19*$N$1,2))</f>
        <v/>
      </c>
      <c r="G19" s="15" t="str">
        <f aca="false">IF(E19="","",E19+F19)</f>
        <v/>
      </c>
      <c r="H19" s="5"/>
      <c r="I19" s="5"/>
      <c r="J19" s="13"/>
      <c r="K19" s="5"/>
    </row>
    <row r="20" customFormat="false" ht="15" hidden="false" customHeight="false" outlineLevel="0" collapsed="false">
      <c r="A20" s="5"/>
      <c r="B20" s="13"/>
      <c r="C20" s="5"/>
      <c r="D20" s="5"/>
      <c r="E20" s="15"/>
      <c r="F20" s="15" t="str">
        <f aca="false">IF(E20="","",ROUND(E20*$N$1,2))</f>
        <v/>
      </c>
      <c r="G20" s="15" t="str">
        <f aca="false">IF(E20="","",E20+F20)</f>
        <v/>
      </c>
      <c r="H20" s="5"/>
      <c r="I20" s="5"/>
      <c r="J20" s="13"/>
      <c r="K20" s="5"/>
    </row>
    <row r="21" customFormat="false" ht="15" hidden="false" customHeight="false" outlineLevel="0" collapsed="false">
      <c r="A21" s="5"/>
      <c r="B21" s="13"/>
      <c r="C21" s="5"/>
      <c r="D21" s="5"/>
      <c r="E21" s="15"/>
      <c r="F21" s="15" t="str">
        <f aca="false">IF(E21="","",ROUND(E21*$N$1,2))</f>
        <v/>
      </c>
      <c r="G21" s="15" t="str">
        <f aca="false">IF(E21="","",E21+F21)</f>
        <v/>
      </c>
      <c r="H21" s="5"/>
      <c r="I21" s="5"/>
      <c r="J21" s="13"/>
      <c r="K21" s="5"/>
    </row>
    <row r="22" customFormat="false" ht="15" hidden="false" customHeight="false" outlineLevel="0" collapsed="false">
      <c r="A22" s="5"/>
      <c r="B22" s="13"/>
      <c r="C22" s="5"/>
      <c r="D22" s="5"/>
      <c r="E22" s="15"/>
      <c r="F22" s="15" t="str">
        <f aca="false">IF(E22="","",ROUND(E22*$N$1,2))</f>
        <v/>
      </c>
      <c r="G22" s="15" t="str">
        <f aca="false">IF(E22="","",E22+F22)</f>
        <v/>
      </c>
      <c r="H22" s="5"/>
      <c r="I22" s="5"/>
      <c r="J22" s="13"/>
      <c r="K22" s="5"/>
    </row>
    <row r="23" customFormat="false" ht="15" hidden="false" customHeight="false" outlineLevel="0" collapsed="false">
      <c r="A23" s="5"/>
      <c r="B23" s="13"/>
      <c r="C23" s="5"/>
      <c r="D23" s="5"/>
      <c r="E23" s="15"/>
      <c r="F23" s="15" t="str">
        <f aca="false">IF(E23="","",ROUND(E23*$N$1,2))</f>
        <v/>
      </c>
      <c r="G23" s="15" t="str">
        <f aca="false">IF(E23="","",E23+F23)</f>
        <v/>
      </c>
      <c r="H23" s="5"/>
      <c r="I23" s="5"/>
      <c r="J23" s="13"/>
      <c r="K23" s="5"/>
    </row>
    <row r="24" customFormat="false" ht="15" hidden="false" customHeight="false" outlineLevel="0" collapsed="false">
      <c r="A24" s="5"/>
      <c r="B24" s="13"/>
      <c r="C24" s="5"/>
      <c r="D24" s="5"/>
      <c r="E24" s="15"/>
      <c r="F24" s="15" t="str">
        <f aca="false">IF(E24="","",ROUND(E24*$N$1,2))</f>
        <v/>
      </c>
      <c r="G24" s="15" t="str">
        <f aca="false">IF(E24="","",E24+F24)</f>
        <v/>
      </c>
      <c r="H24" s="5"/>
      <c r="I24" s="5"/>
      <c r="J24" s="13"/>
      <c r="K24" s="5"/>
    </row>
    <row r="25" customFormat="false" ht="15" hidden="false" customHeight="false" outlineLevel="0" collapsed="false">
      <c r="A25" s="5"/>
      <c r="B25" s="13"/>
      <c r="C25" s="5"/>
      <c r="D25" s="5"/>
      <c r="E25" s="15"/>
      <c r="F25" s="15" t="str">
        <f aca="false">IF(E25="","",ROUND(E25*$N$1,2))</f>
        <v/>
      </c>
      <c r="G25" s="15" t="str">
        <f aca="false">IF(E25="","",E25+F25)</f>
        <v/>
      </c>
      <c r="H25" s="5"/>
      <c r="I25" s="5"/>
      <c r="J25" s="13"/>
      <c r="K25" s="5"/>
    </row>
    <row r="26" customFormat="false" ht="15" hidden="false" customHeight="false" outlineLevel="0" collapsed="false">
      <c r="A26" s="5"/>
      <c r="B26" s="13"/>
      <c r="C26" s="5"/>
      <c r="D26" s="5"/>
      <c r="E26" s="15"/>
      <c r="F26" s="15" t="str">
        <f aca="false">IF(E26="","",ROUND(E26*$N$1,2))</f>
        <v/>
      </c>
      <c r="G26" s="15" t="str">
        <f aca="false">IF(E26="","",E26+F26)</f>
        <v/>
      </c>
      <c r="H26" s="5"/>
      <c r="I26" s="5"/>
      <c r="J26" s="13"/>
      <c r="K26" s="5"/>
    </row>
    <row r="27" customFormat="false" ht="15" hidden="false" customHeight="false" outlineLevel="0" collapsed="false">
      <c r="A27" s="5"/>
      <c r="B27" s="13"/>
      <c r="C27" s="5"/>
      <c r="D27" s="5"/>
      <c r="E27" s="15"/>
      <c r="F27" s="15" t="str">
        <f aca="false">IF(E27="","",ROUND(E27*$N$1,2))</f>
        <v/>
      </c>
      <c r="G27" s="15" t="str">
        <f aca="false">IF(E27="","",E27+F27)</f>
        <v/>
      </c>
      <c r="H27" s="5"/>
      <c r="I27" s="5"/>
      <c r="J27" s="13"/>
      <c r="K27" s="5"/>
    </row>
    <row r="28" customFormat="false" ht="15" hidden="false" customHeight="false" outlineLevel="0" collapsed="false">
      <c r="A28" s="5"/>
      <c r="B28" s="13"/>
      <c r="C28" s="5"/>
      <c r="D28" s="5"/>
      <c r="E28" s="15"/>
      <c r="F28" s="15" t="str">
        <f aca="false">IF(E28="","",ROUND(E28*$N$1,2))</f>
        <v/>
      </c>
      <c r="G28" s="15" t="str">
        <f aca="false">IF(E28="","",E28+F28)</f>
        <v/>
      </c>
      <c r="H28" s="5"/>
      <c r="I28" s="5"/>
      <c r="J28" s="13"/>
      <c r="K28" s="5"/>
    </row>
    <row r="29" customFormat="false" ht="15" hidden="false" customHeight="false" outlineLevel="0" collapsed="false">
      <c r="A29" s="5"/>
      <c r="B29" s="13"/>
      <c r="C29" s="5"/>
      <c r="D29" s="5"/>
      <c r="E29" s="15"/>
      <c r="F29" s="15" t="str">
        <f aca="false">IF(E29="","",ROUND(E29*$N$1,2))</f>
        <v/>
      </c>
      <c r="G29" s="15" t="str">
        <f aca="false">IF(E29="","",E29+F29)</f>
        <v/>
      </c>
      <c r="H29" s="5"/>
      <c r="I29" s="5"/>
      <c r="J29" s="13"/>
      <c r="K29" s="5"/>
    </row>
    <row r="30" customFormat="false" ht="15" hidden="false" customHeight="false" outlineLevel="0" collapsed="false">
      <c r="A30" s="5"/>
      <c r="B30" s="13"/>
      <c r="C30" s="5"/>
      <c r="D30" s="5"/>
      <c r="E30" s="15"/>
      <c r="F30" s="15" t="str">
        <f aca="false">IF(E30="","",ROUND(E30*$N$1,2))</f>
        <v/>
      </c>
      <c r="G30" s="15" t="str">
        <f aca="false">IF(E30="","",E30+F30)</f>
        <v/>
      </c>
      <c r="H30" s="5"/>
      <c r="I30" s="5"/>
      <c r="J30" s="13"/>
      <c r="K30" s="5"/>
    </row>
    <row r="31" customFormat="false" ht="15" hidden="false" customHeight="false" outlineLevel="0" collapsed="false">
      <c r="A31" s="5"/>
      <c r="B31" s="13"/>
      <c r="C31" s="5"/>
      <c r="D31" s="5"/>
      <c r="E31" s="15"/>
      <c r="F31" s="15" t="str">
        <f aca="false">IF(E31="","",ROUND(E31*$N$1,2))</f>
        <v/>
      </c>
      <c r="G31" s="15" t="str">
        <f aca="false">IF(E31="","",E31+F31)</f>
        <v/>
      </c>
      <c r="H31" s="5"/>
      <c r="I31" s="5"/>
      <c r="J31" s="13"/>
      <c r="K31" s="5"/>
    </row>
    <row r="32" customFormat="false" ht="15" hidden="false" customHeight="false" outlineLevel="0" collapsed="false">
      <c r="A32" s="5"/>
      <c r="B32" s="13"/>
      <c r="C32" s="5"/>
      <c r="D32" s="5"/>
      <c r="E32" s="15"/>
      <c r="F32" s="15" t="str">
        <f aca="false">IF(E32="","",ROUND(E32*$N$1,2))</f>
        <v/>
      </c>
      <c r="G32" s="15" t="str">
        <f aca="false">IF(E32="","",E32+F32)</f>
        <v/>
      </c>
      <c r="H32" s="5"/>
      <c r="I32" s="5"/>
      <c r="J32" s="13"/>
      <c r="K32" s="5"/>
    </row>
    <row r="33" customFormat="false" ht="15" hidden="false" customHeight="false" outlineLevel="0" collapsed="false">
      <c r="A33" s="5"/>
      <c r="B33" s="13"/>
      <c r="C33" s="5"/>
      <c r="D33" s="5"/>
      <c r="E33" s="15"/>
      <c r="F33" s="15" t="str">
        <f aca="false">IF(E33="","",ROUND(E33*$N$1,2))</f>
        <v/>
      </c>
      <c r="G33" s="15" t="str">
        <f aca="false">IF(E33="","",E33+F33)</f>
        <v/>
      </c>
      <c r="H33" s="5"/>
      <c r="I33" s="5"/>
      <c r="J33" s="13"/>
      <c r="K33" s="5"/>
    </row>
    <row r="34" customFormat="false" ht="15" hidden="false" customHeight="false" outlineLevel="0" collapsed="false">
      <c r="A34" s="5"/>
      <c r="B34" s="13"/>
      <c r="C34" s="5"/>
      <c r="D34" s="5"/>
      <c r="E34" s="15"/>
      <c r="F34" s="15" t="str">
        <f aca="false">IF(E34="","",ROUND(E34*$N$1,2))</f>
        <v/>
      </c>
      <c r="G34" s="15" t="str">
        <f aca="false">IF(E34="","",E34+F34)</f>
        <v/>
      </c>
      <c r="H34" s="5"/>
      <c r="I34" s="5"/>
      <c r="J34" s="13"/>
      <c r="K34" s="5"/>
    </row>
    <row r="35" customFormat="false" ht="15" hidden="false" customHeight="false" outlineLevel="0" collapsed="false">
      <c r="A35" s="5"/>
      <c r="B35" s="13"/>
      <c r="C35" s="5"/>
      <c r="D35" s="5"/>
      <c r="E35" s="15"/>
      <c r="F35" s="15" t="str">
        <f aca="false">IF(E35="","",ROUND(E35*$N$1,2))</f>
        <v/>
      </c>
      <c r="G35" s="15" t="str">
        <f aca="false">IF(E35="","",E35+F35)</f>
        <v/>
      </c>
      <c r="H35" s="5"/>
      <c r="I35" s="5"/>
      <c r="J35" s="13"/>
      <c r="K35" s="5"/>
    </row>
    <row r="36" customFormat="false" ht="15" hidden="false" customHeight="false" outlineLevel="0" collapsed="false">
      <c r="A36" s="5"/>
      <c r="B36" s="13"/>
      <c r="C36" s="5"/>
      <c r="D36" s="5"/>
      <c r="E36" s="15"/>
      <c r="F36" s="15" t="str">
        <f aca="false">IF(E36="","",ROUND(E36*$N$1,2))</f>
        <v/>
      </c>
      <c r="G36" s="15" t="str">
        <f aca="false">IF(E36="","",E36+F36)</f>
        <v/>
      </c>
      <c r="H36" s="5"/>
      <c r="I36" s="5"/>
      <c r="J36" s="13"/>
      <c r="K36" s="5"/>
    </row>
    <row r="37" customFormat="false" ht="15" hidden="false" customHeight="false" outlineLevel="0" collapsed="false">
      <c r="A37" s="5"/>
      <c r="B37" s="13"/>
      <c r="C37" s="5"/>
      <c r="D37" s="5"/>
      <c r="E37" s="15"/>
      <c r="F37" s="15" t="str">
        <f aca="false">IF(E37="","",ROUND(E37*$N$1,2))</f>
        <v/>
      </c>
      <c r="G37" s="15" t="str">
        <f aca="false">IF(E37="","",E37+F37)</f>
        <v/>
      </c>
      <c r="H37" s="5"/>
      <c r="I37" s="5"/>
      <c r="J37" s="13"/>
      <c r="K37" s="5"/>
    </row>
    <row r="38" customFormat="false" ht="15" hidden="false" customHeight="false" outlineLevel="0" collapsed="false">
      <c r="A38" s="5"/>
      <c r="B38" s="13"/>
      <c r="C38" s="5"/>
      <c r="D38" s="5"/>
      <c r="E38" s="15"/>
      <c r="F38" s="15" t="str">
        <f aca="false">IF(E38="","",ROUND(E38*$N$1,2))</f>
        <v/>
      </c>
      <c r="G38" s="15" t="str">
        <f aca="false">IF(E38="","",E38+F38)</f>
        <v/>
      </c>
      <c r="H38" s="5"/>
      <c r="I38" s="5"/>
      <c r="J38" s="13"/>
      <c r="K38" s="5"/>
    </row>
    <row r="39" customFormat="false" ht="15" hidden="false" customHeight="false" outlineLevel="0" collapsed="false">
      <c r="A39" s="5"/>
      <c r="B39" s="13"/>
      <c r="C39" s="5"/>
      <c r="D39" s="5"/>
      <c r="E39" s="15"/>
      <c r="F39" s="15" t="str">
        <f aca="false">IF(E39="","",ROUND(E39*$N$1,2))</f>
        <v/>
      </c>
      <c r="G39" s="15" t="str">
        <f aca="false">IF(E39="","",E39+F39)</f>
        <v/>
      </c>
      <c r="H39" s="5"/>
      <c r="I39" s="5"/>
      <c r="J39" s="13"/>
      <c r="K39" s="5"/>
    </row>
    <row r="40" customFormat="false" ht="15" hidden="false" customHeight="false" outlineLevel="0" collapsed="false">
      <c r="A40" s="5"/>
      <c r="B40" s="13"/>
      <c r="C40" s="5"/>
      <c r="D40" s="5"/>
      <c r="E40" s="15"/>
      <c r="F40" s="15" t="str">
        <f aca="false">IF(E40="","",ROUND(E40*$N$1,2))</f>
        <v/>
      </c>
      <c r="G40" s="15" t="str">
        <f aca="false">IF(E40="","",E40+F40)</f>
        <v/>
      </c>
      <c r="H40" s="5"/>
      <c r="I40" s="5"/>
      <c r="J40" s="13"/>
      <c r="K40" s="5"/>
    </row>
    <row r="41" customFormat="false" ht="15" hidden="false" customHeight="false" outlineLevel="0" collapsed="false">
      <c r="A41" s="5"/>
      <c r="B41" s="13"/>
      <c r="C41" s="5"/>
      <c r="D41" s="5"/>
      <c r="E41" s="15"/>
      <c r="F41" s="15" t="str">
        <f aca="false">IF(E41="","",ROUND(E41*$N$1,2))</f>
        <v/>
      </c>
      <c r="G41" s="15" t="str">
        <f aca="false">IF(E41="","",E41+F41)</f>
        <v/>
      </c>
      <c r="H41" s="5"/>
      <c r="I41" s="5"/>
      <c r="J41" s="13"/>
      <c r="K41" s="5"/>
    </row>
    <row r="42" customFormat="false" ht="15" hidden="false" customHeight="false" outlineLevel="0" collapsed="false">
      <c r="A42" s="5"/>
      <c r="B42" s="13"/>
      <c r="C42" s="5"/>
      <c r="D42" s="5"/>
      <c r="E42" s="15"/>
      <c r="F42" s="15" t="str">
        <f aca="false">IF(E42="","",ROUND(E42*$N$1,2))</f>
        <v/>
      </c>
      <c r="G42" s="15" t="str">
        <f aca="false">IF(E42="","",E42+F42)</f>
        <v/>
      </c>
      <c r="H42" s="5"/>
      <c r="I42" s="5"/>
      <c r="J42" s="13"/>
      <c r="K42" s="5"/>
    </row>
    <row r="43" customFormat="false" ht="15" hidden="false" customHeight="false" outlineLevel="0" collapsed="false">
      <c r="A43" s="5"/>
      <c r="B43" s="13"/>
      <c r="C43" s="5"/>
      <c r="D43" s="5"/>
      <c r="E43" s="15"/>
      <c r="F43" s="15" t="str">
        <f aca="false">IF(E43="","",ROUND(E43*$N$1,2))</f>
        <v/>
      </c>
      <c r="G43" s="15" t="str">
        <f aca="false">IF(E43="","",E43+F43)</f>
        <v/>
      </c>
      <c r="H43" s="5"/>
      <c r="I43" s="5"/>
      <c r="J43" s="13"/>
      <c r="K43" s="5"/>
    </row>
    <row r="44" customFormat="false" ht="15" hidden="false" customHeight="false" outlineLevel="0" collapsed="false">
      <c r="A44" s="5"/>
      <c r="B44" s="13"/>
      <c r="C44" s="5"/>
      <c r="D44" s="5"/>
      <c r="E44" s="15"/>
      <c r="F44" s="15" t="str">
        <f aca="false">IF(E44="","",ROUND(E44*$N$1,2))</f>
        <v/>
      </c>
      <c r="G44" s="15" t="str">
        <f aca="false">IF(E44="","",E44+F44)</f>
        <v/>
      </c>
      <c r="H44" s="5"/>
      <c r="I44" s="5"/>
      <c r="J44" s="13"/>
      <c r="K44" s="5"/>
    </row>
    <row r="45" customFormat="false" ht="15" hidden="false" customHeight="false" outlineLevel="0" collapsed="false">
      <c r="A45" s="5"/>
      <c r="B45" s="13"/>
      <c r="C45" s="5"/>
      <c r="D45" s="5"/>
      <c r="E45" s="15"/>
      <c r="F45" s="15" t="str">
        <f aca="false">IF(E45="","",ROUND(E45*$N$1,2))</f>
        <v/>
      </c>
      <c r="G45" s="15" t="str">
        <f aca="false">IF(E45="","",E45+F45)</f>
        <v/>
      </c>
      <c r="H45" s="5"/>
      <c r="I45" s="5"/>
      <c r="J45" s="13"/>
      <c r="K45" s="5"/>
    </row>
    <row r="46" customFormat="false" ht="15" hidden="false" customHeight="false" outlineLevel="0" collapsed="false">
      <c r="A46" s="5"/>
      <c r="B46" s="13"/>
      <c r="C46" s="5"/>
      <c r="D46" s="5"/>
      <c r="E46" s="15"/>
      <c r="F46" s="15" t="str">
        <f aca="false">IF(E46="","",ROUND(E46*$N$1,2))</f>
        <v/>
      </c>
      <c r="G46" s="15" t="str">
        <f aca="false">IF(E46="","",E46+F46)</f>
        <v/>
      </c>
      <c r="H46" s="5"/>
      <c r="I46" s="5"/>
      <c r="J46" s="13"/>
      <c r="K46" s="5"/>
    </row>
    <row r="47" customFormat="false" ht="15" hidden="false" customHeight="false" outlineLevel="0" collapsed="false">
      <c r="A47" s="5"/>
      <c r="B47" s="13"/>
      <c r="C47" s="5"/>
      <c r="D47" s="5"/>
      <c r="E47" s="15"/>
      <c r="F47" s="15" t="str">
        <f aca="false">IF(E47="","",ROUND(E47*$N$1,2))</f>
        <v/>
      </c>
      <c r="G47" s="15" t="str">
        <f aca="false">IF(E47="","",E47+F47)</f>
        <v/>
      </c>
      <c r="H47" s="5"/>
      <c r="I47" s="5"/>
      <c r="J47" s="13"/>
      <c r="K47" s="5"/>
    </row>
    <row r="48" customFormat="false" ht="15" hidden="false" customHeight="false" outlineLevel="0" collapsed="false">
      <c r="A48" s="5"/>
      <c r="B48" s="13"/>
      <c r="C48" s="5"/>
      <c r="D48" s="5"/>
      <c r="E48" s="15"/>
      <c r="F48" s="15" t="str">
        <f aca="false">IF(E48="","",ROUND(E48*$N$1,2))</f>
        <v/>
      </c>
      <c r="G48" s="15" t="str">
        <f aca="false">IF(E48="","",E48+F48)</f>
        <v/>
      </c>
      <c r="H48" s="5"/>
      <c r="I48" s="5"/>
      <c r="J48" s="13"/>
      <c r="K48" s="5"/>
    </row>
    <row r="49" customFormat="false" ht="15" hidden="false" customHeight="false" outlineLevel="0" collapsed="false">
      <c r="A49" s="5"/>
      <c r="B49" s="13"/>
      <c r="C49" s="5"/>
      <c r="D49" s="5"/>
      <c r="E49" s="15"/>
      <c r="F49" s="15" t="str">
        <f aca="false">IF(E49="","",ROUND(E49*$N$1,2))</f>
        <v/>
      </c>
      <c r="G49" s="15" t="str">
        <f aca="false">IF(E49="","",E49+F49)</f>
        <v/>
      </c>
      <c r="H49" s="5"/>
      <c r="I49" s="5"/>
      <c r="J49" s="13"/>
      <c r="K49" s="5"/>
    </row>
    <row r="50" customFormat="false" ht="15" hidden="false" customHeight="false" outlineLevel="0" collapsed="false">
      <c r="A50" s="5"/>
      <c r="B50" s="13"/>
      <c r="C50" s="5"/>
      <c r="D50" s="5"/>
      <c r="E50" s="15"/>
      <c r="F50" s="15" t="str">
        <f aca="false">IF(E50="","",ROUND(E50*$N$1,2))</f>
        <v/>
      </c>
      <c r="G50" s="15" t="str">
        <f aca="false">IF(E50="","",E50+F50)</f>
        <v/>
      </c>
      <c r="H50" s="5"/>
      <c r="I50" s="5"/>
      <c r="J50" s="13"/>
      <c r="K50" s="5"/>
    </row>
    <row r="51" customFormat="false" ht="15" hidden="false" customHeight="false" outlineLevel="0" collapsed="false">
      <c r="A51" s="5"/>
      <c r="B51" s="13"/>
      <c r="C51" s="5"/>
      <c r="D51" s="5"/>
      <c r="E51" s="15"/>
      <c r="F51" s="15" t="str">
        <f aca="false">IF(E51="","",ROUND(E51*$N$1,2))</f>
        <v/>
      </c>
      <c r="G51" s="15" t="str">
        <f aca="false">IF(E51="","",E51+F51)</f>
        <v/>
      </c>
      <c r="H51" s="5"/>
      <c r="I51" s="5"/>
      <c r="J51" s="13"/>
      <c r="K51" s="5"/>
    </row>
    <row r="52" customFormat="false" ht="15" hidden="false" customHeight="false" outlineLevel="0" collapsed="false">
      <c r="A52" s="5"/>
      <c r="B52" s="13"/>
      <c r="C52" s="5"/>
      <c r="D52" s="5"/>
      <c r="E52" s="15"/>
      <c r="F52" s="15" t="str">
        <f aca="false">IF(E52="","",ROUND(E52*$N$1,2))</f>
        <v/>
      </c>
      <c r="G52" s="15" t="str">
        <f aca="false">IF(E52="","",E52+F52)</f>
        <v/>
      </c>
      <c r="H52" s="5"/>
      <c r="I52" s="5"/>
      <c r="J52" s="13"/>
      <c r="K52" s="5"/>
    </row>
    <row r="53" customFormat="false" ht="15" hidden="false" customHeight="false" outlineLevel="0" collapsed="false">
      <c r="A53" s="5"/>
      <c r="B53" s="13"/>
      <c r="C53" s="5"/>
      <c r="D53" s="5"/>
      <c r="E53" s="15"/>
      <c r="F53" s="15" t="str">
        <f aca="false">IF(E53="","",ROUND(E53*$N$1,2))</f>
        <v/>
      </c>
      <c r="G53" s="15" t="str">
        <f aca="false">IF(E53="","",E53+F53)</f>
        <v/>
      </c>
      <c r="H53" s="5"/>
      <c r="I53" s="5"/>
      <c r="J53" s="13"/>
      <c r="K53" s="5"/>
    </row>
    <row r="54" customFormat="false" ht="15" hidden="false" customHeight="false" outlineLevel="0" collapsed="false">
      <c r="A54" s="5"/>
      <c r="B54" s="13"/>
      <c r="C54" s="5"/>
      <c r="D54" s="5"/>
      <c r="E54" s="15"/>
      <c r="F54" s="15" t="str">
        <f aca="false">IF(E54="","",ROUND(E54*$N$1,2))</f>
        <v/>
      </c>
      <c r="G54" s="15" t="str">
        <f aca="false">IF(E54="","",E54+F54)</f>
        <v/>
      </c>
      <c r="H54" s="5"/>
      <c r="I54" s="5"/>
      <c r="J54" s="13"/>
      <c r="K54" s="5"/>
    </row>
    <row r="55" customFormat="false" ht="15" hidden="false" customHeight="false" outlineLevel="0" collapsed="false">
      <c r="A55" s="5"/>
      <c r="B55" s="13"/>
      <c r="C55" s="5"/>
      <c r="D55" s="5"/>
      <c r="E55" s="15"/>
      <c r="F55" s="15" t="str">
        <f aca="false">IF(E55="","",ROUND(E55*$N$1,2))</f>
        <v/>
      </c>
      <c r="G55" s="15" t="str">
        <f aca="false">IF(E55="","",E55+F55)</f>
        <v/>
      </c>
      <c r="H55" s="5"/>
      <c r="I55" s="5"/>
      <c r="J55" s="13"/>
      <c r="K55" s="5"/>
    </row>
    <row r="56" customFormat="false" ht="15" hidden="false" customHeight="false" outlineLevel="0" collapsed="false">
      <c r="A56" s="5"/>
      <c r="B56" s="13"/>
      <c r="C56" s="5"/>
      <c r="D56" s="5"/>
      <c r="E56" s="15"/>
      <c r="F56" s="15" t="str">
        <f aca="false">IF(E56="","",ROUND(E56*$N$1,2))</f>
        <v/>
      </c>
      <c r="G56" s="15" t="str">
        <f aca="false">IF(E56="","",E56+F56)</f>
        <v/>
      </c>
      <c r="H56" s="5"/>
      <c r="I56" s="5"/>
      <c r="J56" s="13"/>
      <c r="K56" s="5"/>
    </row>
    <row r="57" customFormat="false" ht="15" hidden="false" customHeight="false" outlineLevel="0" collapsed="false">
      <c r="A57" s="5"/>
      <c r="B57" s="13"/>
      <c r="C57" s="5"/>
      <c r="D57" s="5"/>
      <c r="E57" s="15"/>
      <c r="F57" s="15" t="str">
        <f aca="false">IF(E57="","",ROUND(E57*$N$1,2))</f>
        <v/>
      </c>
      <c r="G57" s="15" t="str">
        <f aca="false">IF(E57="","",E57+F57)</f>
        <v/>
      </c>
      <c r="H57" s="5"/>
      <c r="I57" s="5"/>
      <c r="J57" s="13"/>
      <c r="K57" s="5"/>
    </row>
    <row r="58" customFormat="false" ht="15" hidden="false" customHeight="false" outlineLevel="0" collapsed="false">
      <c r="A58" s="5"/>
      <c r="B58" s="13"/>
      <c r="C58" s="5"/>
      <c r="D58" s="5"/>
      <c r="E58" s="15"/>
      <c r="F58" s="15" t="str">
        <f aca="false">IF(E58="","",ROUND(E58*$N$1,2))</f>
        <v/>
      </c>
      <c r="G58" s="15" t="str">
        <f aca="false">IF(E58="","",E58+F58)</f>
        <v/>
      </c>
      <c r="H58" s="5"/>
      <c r="I58" s="5"/>
      <c r="J58" s="13"/>
      <c r="K58" s="5"/>
    </row>
    <row r="59" customFormat="false" ht="15" hidden="false" customHeight="false" outlineLevel="0" collapsed="false">
      <c r="A59" s="5"/>
      <c r="B59" s="13"/>
      <c r="C59" s="5"/>
      <c r="D59" s="5"/>
      <c r="E59" s="15"/>
      <c r="F59" s="15" t="str">
        <f aca="false">IF(E59="","",ROUND(E59*$N$1,2))</f>
        <v/>
      </c>
      <c r="G59" s="15" t="str">
        <f aca="false">IF(E59="","",E59+F59)</f>
        <v/>
      </c>
      <c r="H59" s="5"/>
      <c r="I59" s="5"/>
      <c r="J59" s="13"/>
      <c r="K59" s="5"/>
    </row>
    <row r="60" customFormat="false" ht="15" hidden="false" customHeight="false" outlineLevel="0" collapsed="false">
      <c r="A60" s="5"/>
      <c r="B60" s="13"/>
      <c r="C60" s="5"/>
      <c r="D60" s="5"/>
      <c r="E60" s="15"/>
      <c r="F60" s="15" t="str">
        <f aca="false">IF(E60="","",ROUND(E60*$N$1,2))</f>
        <v/>
      </c>
      <c r="G60" s="15" t="str">
        <f aca="false">IF(E60="","",E60+F60)</f>
        <v/>
      </c>
      <c r="H60" s="5"/>
      <c r="I60" s="5"/>
      <c r="J60" s="13"/>
      <c r="K60" s="5"/>
    </row>
    <row r="61" customFormat="false" ht="15" hidden="false" customHeight="false" outlineLevel="0" collapsed="false">
      <c r="A61" s="5"/>
      <c r="B61" s="13"/>
      <c r="C61" s="5"/>
      <c r="D61" s="5"/>
      <c r="E61" s="15"/>
      <c r="F61" s="15" t="str">
        <f aca="false">IF(E61="","",ROUND(E61*$N$1,2))</f>
        <v/>
      </c>
      <c r="G61" s="15" t="str">
        <f aca="false">IF(E61="","",E61+F61)</f>
        <v/>
      </c>
      <c r="H61" s="5"/>
      <c r="I61" s="5"/>
      <c r="J61" s="13"/>
      <c r="K61" s="5"/>
    </row>
    <row r="62" customFormat="false" ht="15" hidden="false" customHeight="false" outlineLevel="0" collapsed="false">
      <c r="A62" s="5"/>
      <c r="B62" s="13"/>
      <c r="C62" s="5"/>
      <c r="D62" s="5"/>
      <c r="E62" s="15"/>
      <c r="F62" s="15" t="str">
        <f aca="false">IF(E62="","",ROUND(E62*$N$1,2))</f>
        <v/>
      </c>
      <c r="G62" s="15" t="str">
        <f aca="false">IF(E62="","",E62+F62)</f>
        <v/>
      </c>
      <c r="H62" s="5"/>
      <c r="I62" s="5"/>
      <c r="J62" s="13"/>
      <c r="K62" s="5"/>
    </row>
    <row r="63" customFormat="false" ht="15" hidden="false" customHeight="false" outlineLevel="0" collapsed="false">
      <c r="A63" s="5"/>
      <c r="B63" s="13"/>
      <c r="C63" s="5"/>
      <c r="D63" s="5"/>
      <c r="E63" s="15"/>
      <c r="F63" s="15" t="str">
        <f aca="false">IF(E63="","",ROUND(E63*$N$1,2))</f>
        <v/>
      </c>
      <c r="G63" s="15" t="str">
        <f aca="false">IF(E63="","",E63+F63)</f>
        <v/>
      </c>
      <c r="H63" s="5"/>
      <c r="I63" s="5"/>
      <c r="J63" s="13"/>
      <c r="K63" s="5"/>
    </row>
    <row r="64" customFormat="false" ht="15" hidden="false" customHeight="false" outlineLevel="0" collapsed="false">
      <c r="A64" s="5"/>
      <c r="B64" s="13"/>
      <c r="C64" s="5"/>
      <c r="D64" s="5"/>
      <c r="E64" s="15"/>
      <c r="F64" s="15" t="str">
        <f aca="false">IF(E64="","",ROUND(E64*$N$1,2))</f>
        <v/>
      </c>
      <c r="G64" s="15" t="str">
        <f aca="false">IF(E64="","",E64+F64)</f>
        <v/>
      </c>
      <c r="H64" s="5"/>
      <c r="I64" s="5"/>
      <c r="J64" s="13"/>
      <c r="K64" s="5"/>
    </row>
    <row r="65" customFormat="false" ht="15" hidden="false" customHeight="false" outlineLevel="0" collapsed="false">
      <c r="A65" s="5"/>
      <c r="B65" s="13"/>
      <c r="C65" s="5"/>
      <c r="D65" s="5"/>
      <c r="E65" s="15"/>
      <c r="F65" s="15" t="str">
        <f aca="false">IF(E65="","",ROUND(E65*$N$1,2))</f>
        <v/>
      </c>
      <c r="G65" s="15" t="str">
        <f aca="false">IF(E65="","",E65+F65)</f>
        <v/>
      </c>
      <c r="H65" s="5"/>
      <c r="I65" s="5"/>
      <c r="J65" s="13"/>
      <c r="K65" s="5"/>
    </row>
    <row r="66" customFormat="false" ht="15" hidden="false" customHeight="false" outlineLevel="0" collapsed="false">
      <c r="A66" s="5"/>
      <c r="B66" s="13"/>
      <c r="C66" s="5"/>
      <c r="D66" s="5"/>
      <c r="E66" s="15"/>
      <c r="F66" s="15" t="str">
        <f aca="false">IF(E66="","",ROUND(E66*$N$1,2))</f>
        <v/>
      </c>
      <c r="G66" s="15" t="str">
        <f aca="false">IF(E66="","",E66+F66)</f>
        <v/>
      </c>
      <c r="H66" s="5"/>
      <c r="I66" s="5"/>
      <c r="J66" s="13"/>
      <c r="K66" s="5"/>
    </row>
    <row r="67" customFormat="false" ht="15" hidden="false" customHeight="false" outlineLevel="0" collapsed="false">
      <c r="A67" s="5"/>
      <c r="B67" s="13"/>
      <c r="C67" s="5"/>
      <c r="D67" s="5"/>
      <c r="E67" s="15"/>
      <c r="F67" s="15" t="str">
        <f aca="false">IF(E67="","",ROUND(E67*$N$1,2))</f>
        <v/>
      </c>
      <c r="G67" s="15" t="str">
        <f aca="false">IF(E67="","",E67+F67)</f>
        <v/>
      </c>
      <c r="H67" s="5"/>
      <c r="I67" s="5"/>
      <c r="J67" s="13"/>
      <c r="K67" s="5"/>
    </row>
    <row r="68" customFormat="false" ht="15" hidden="false" customHeight="false" outlineLevel="0" collapsed="false">
      <c r="A68" s="5"/>
      <c r="B68" s="13"/>
      <c r="C68" s="5"/>
      <c r="D68" s="5"/>
      <c r="E68" s="15"/>
      <c r="F68" s="15" t="str">
        <f aca="false">IF(E68="","",ROUND(E68*$N$1,2))</f>
        <v/>
      </c>
      <c r="G68" s="15" t="str">
        <f aca="false">IF(E68="","",E68+F68)</f>
        <v/>
      </c>
      <c r="H68" s="5"/>
      <c r="I68" s="5"/>
      <c r="J68" s="13"/>
      <c r="K68" s="5"/>
    </row>
    <row r="69" customFormat="false" ht="15" hidden="false" customHeight="false" outlineLevel="0" collapsed="false">
      <c r="A69" s="5"/>
      <c r="B69" s="13"/>
      <c r="C69" s="5"/>
      <c r="D69" s="5"/>
      <c r="E69" s="15"/>
      <c r="F69" s="15" t="str">
        <f aca="false">IF(E69="","",ROUND(E69*$N$1,2))</f>
        <v/>
      </c>
      <c r="G69" s="15" t="str">
        <f aca="false">IF(E69="","",E69+F69)</f>
        <v/>
      </c>
      <c r="H69" s="5"/>
      <c r="I69" s="5"/>
      <c r="J69" s="13"/>
      <c r="K69" s="5"/>
    </row>
    <row r="70" customFormat="false" ht="15" hidden="false" customHeight="false" outlineLevel="0" collapsed="false">
      <c r="A70" s="5"/>
      <c r="B70" s="13"/>
      <c r="C70" s="5"/>
      <c r="D70" s="5"/>
      <c r="E70" s="15"/>
      <c r="F70" s="15" t="str">
        <f aca="false">IF(E70="","",ROUND(E70*$N$1,2))</f>
        <v/>
      </c>
      <c r="G70" s="15" t="str">
        <f aca="false">IF(E70="","",E70+F70)</f>
        <v/>
      </c>
      <c r="H70" s="5"/>
      <c r="I70" s="5"/>
      <c r="J70" s="13"/>
      <c r="K70" s="5"/>
    </row>
    <row r="71" customFormat="false" ht="15" hidden="false" customHeight="false" outlineLevel="0" collapsed="false">
      <c r="A71" s="5"/>
      <c r="B71" s="13"/>
      <c r="C71" s="5"/>
      <c r="D71" s="5"/>
      <c r="E71" s="15"/>
      <c r="F71" s="15" t="str">
        <f aca="false">IF(E71="","",ROUND(E71*$N$1,2))</f>
        <v/>
      </c>
      <c r="G71" s="15" t="str">
        <f aca="false">IF(E71="","",E71+F71)</f>
        <v/>
      </c>
      <c r="H71" s="5"/>
      <c r="I71" s="5"/>
      <c r="J71" s="13"/>
      <c r="K71" s="5"/>
    </row>
    <row r="72" customFormat="false" ht="15" hidden="false" customHeight="false" outlineLevel="0" collapsed="false">
      <c r="A72" s="5"/>
      <c r="B72" s="13"/>
      <c r="C72" s="5"/>
      <c r="D72" s="5"/>
      <c r="E72" s="15"/>
      <c r="F72" s="15" t="str">
        <f aca="false">IF(E72="","",ROUND(E72*$N$1,2))</f>
        <v/>
      </c>
      <c r="G72" s="15" t="str">
        <f aca="false">IF(E72="","",E72+F72)</f>
        <v/>
      </c>
      <c r="H72" s="5"/>
      <c r="I72" s="5"/>
      <c r="J72" s="13"/>
      <c r="K72" s="5"/>
    </row>
    <row r="73" customFormat="false" ht="15" hidden="false" customHeight="false" outlineLevel="0" collapsed="false">
      <c r="A73" s="5"/>
      <c r="B73" s="13"/>
      <c r="C73" s="5"/>
      <c r="D73" s="5"/>
      <c r="E73" s="15"/>
      <c r="F73" s="15" t="str">
        <f aca="false">IF(E73="","",ROUND(E73*$N$1,2))</f>
        <v/>
      </c>
      <c r="G73" s="15" t="str">
        <f aca="false">IF(E73="","",E73+F73)</f>
        <v/>
      </c>
      <c r="H73" s="5"/>
      <c r="I73" s="5"/>
      <c r="J73" s="13"/>
      <c r="K73" s="5"/>
    </row>
    <row r="74" customFormat="false" ht="15" hidden="false" customHeight="false" outlineLevel="0" collapsed="false">
      <c r="A74" s="5"/>
      <c r="B74" s="13"/>
      <c r="C74" s="5"/>
      <c r="D74" s="5"/>
      <c r="E74" s="15"/>
      <c r="F74" s="15" t="str">
        <f aca="false">IF(E74="","",ROUND(E74*$N$1,2))</f>
        <v/>
      </c>
      <c r="G74" s="15" t="str">
        <f aca="false">IF(E74="","",E74+F74)</f>
        <v/>
      </c>
      <c r="H74" s="5"/>
      <c r="I74" s="5"/>
      <c r="J74" s="13"/>
      <c r="K74" s="5"/>
    </row>
    <row r="75" customFormat="false" ht="15" hidden="false" customHeight="false" outlineLevel="0" collapsed="false">
      <c r="A75" s="5"/>
      <c r="B75" s="13"/>
      <c r="C75" s="5"/>
      <c r="D75" s="5"/>
      <c r="E75" s="15"/>
      <c r="F75" s="15" t="str">
        <f aca="false">IF(E75="","",ROUND(E75*$N$1,2))</f>
        <v/>
      </c>
      <c r="G75" s="15" t="str">
        <f aca="false">IF(E75="","",E75+F75)</f>
        <v/>
      </c>
      <c r="H75" s="5"/>
      <c r="I75" s="5"/>
      <c r="J75" s="13"/>
      <c r="K75" s="5"/>
    </row>
    <row r="76" customFormat="false" ht="15" hidden="false" customHeight="false" outlineLevel="0" collapsed="false">
      <c r="A76" s="5"/>
      <c r="B76" s="13"/>
      <c r="C76" s="5"/>
      <c r="D76" s="5"/>
      <c r="E76" s="15"/>
      <c r="F76" s="15" t="str">
        <f aca="false">IF(E76="","",ROUND(E76*$N$1,2))</f>
        <v/>
      </c>
      <c r="G76" s="15" t="str">
        <f aca="false">IF(E76="","",E76+F76)</f>
        <v/>
      </c>
      <c r="H76" s="5"/>
      <c r="I76" s="5"/>
      <c r="J76" s="13"/>
      <c r="K76" s="5"/>
    </row>
    <row r="77" customFormat="false" ht="15" hidden="false" customHeight="false" outlineLevel="0" collapsed="false">
      <c r="A77" s="5"/>
      <c r="B77" s="13"/>
      <c r="C77" s="5"/>
      <c r="D77" s="5"/>
      <c r="E77" s="15"/>
      <c r="F77" s="15" t="str">
        <f aca="false">IF(E77="","",ROUND(E77*$N$1,2))</f>
        <v/>
      </c>
      <c r="G77" s="15" t="str">
        <f aca="false">IF(E77="","",E77+F77)</f>
        <v/>
      </c>
      <c r="H77" s="5"/>
      <c r="I77" s="5"/>
      <c r="J77" s="13"/>
      <c r="K77" s="5"/>
    </row>
    <row r="78" customFormat="false" ht="15" hidden="false" customHeight="false" outlineLevel="0" collapsed="false">
      <c r="A78" s="5"/>
      <c r="B78" s="13"/>
      <c r="C78" s="5"/>
      <c r="D78" s="5"/>
      <c r="E78" s="15"/>
      <c r="F78" s="15" t="str">
        <f aca="false">IF(E78="","",ROUND(E78*$N$1,2))</f>
        <v/>
      </c>
      <c r="G78" s="15" t="str">
        <f aca="false">IF(E78="","",E78+F78)</f>
        <v/>
      </c>
      <c r="H78" s="5"/>
      <c r="I78" s="5"/>
      <c r="J78" s="13"/>
      <c r="K78" s="5"/>
    </row>
    <row r="79" customFormat="false" ht="15" hidden="false" customHeight="false" outlineLevel="0" collapsed="false">
      <c r="A79" s="5"/>
      <c r="B79" s="13"/>
      <c r="C79" s="5"/>
      <c r="D79" s="5"/>
      <c r="E79" s="15"/>
      <c r="F79" s="15" t="str">
        <f aca="false">IF(E79="","",ROUND(E79*$N$1,2))</f>
        <v/>
      </c>
      <c r="G79" s="15" t="str">
        <f aca="false">IF(E79="","",E79+F79)</f>
        <v/>
      </c>
      <c r="H79" s="5"/>
      <c r="I79" s="5"/>
      <c r="J79" s="13"/>
      <c r="K79" s="5"/>
    </row>
    <row r="80" customFormat="false" ht="15" hidden="false" customHeight="false" outlineLevel="0" collapsed="false">
      <c r="A80" s="5"/>
      <c r="B80" s="13"/>
      <c r="C80" s="5"/>
      <c r="D80" s="5"/>
      <c r="E80" s="15"/>
      <c r="F80" s="15" t="str">
        <f aca="false">IF(E80="","",ROUND(E80*$N$1,2))</f>
        <v/>
      </c>
      <c r="G80" s="15" t="str">
        <f aca="false">IF(E80="","",E80+F80)</f>
        <v/>
      </c>
      <c r="H80" s="5"/>
      <c r="I80" s="5"/>
      <c r="J80" s="13"/>
      <c r="K80" s="5"/>
    </row>
    <row r="81" customFormat="false" ht="15" hidden="false" customHeight="false" outlineLevel="0" collapsed="false">
      <c r="A81" s="5"/>
      <c r="B81" s="13"/>
      <c r="C81" s="5"/>
      <c r="D81" s="5"/>
      <c r="E81" s="15"/>
      <c r="F81" s="15" t="str">
        <f aca="false">IF(E81="","",ROUND(E81*$N$1,2))</f>
        <v/>
      </c>
      <c r="G81" s="15" t="str">
        <f aca="false">IF(E81="","",E81+F81)</f>
        <v/>
      </c>
      <c r="H81" s="5"/>
      <c r="I81" s="5"/>
      <c r="J81" s="13"/>
      <c r="K81" s="5"/>
    </row>
    <row r="82" customFormat="false" ht="15" hidden="false" customHeight="false" outlineLevel="0" collapsed="false">
      <c r="A82" s="5"/>
      <c r="B82" s="13"/>
      <c r="C82" s="5"/>
      <c r="D82" s="5"/>
      <c r="E82" s="15"/>
      <c r="F82" s="15" t="str">
        <f aca="false">IF(E82="","",ROUND(E82*$N$1,2))</f>
        <v/>
      </c>
      <c r="G82" s="15" t="str">
        <f aca="false">IF(E82="","",E82+F82)</f>
        <v/>
      </c>
      <c r="H82" s="5"/>
      <c r="I82" s="5"/>
      <c r="J82" s="13"/>
      <c r="K82" s="5"/>
    </row>
    <row r="83" customFormat="false" ht="15" hidden="false" customHeight="false" outlineLevel="0" collapsed="false">
      <c r="A83" s="5"/>
      <c r="B83" s="13"/>
      <c r="C83" s="5"/>
      <c r="D83" s="5"/>
      <c r="E83" s="15"/>
      <c r="F83" s="15" t="str">
        <f aca="false">IF(E83="","",ROUND(E83*$N$1,2))</f>
        <v/>
      </c>
      <c r="G83" s="15" t="str">
        <f aca="false">IF(E83="","",E83+F83)</f>
        <v/>
      </c>
      <c r="H83" s="5"/>
      <c r="I83" s="5"/>
      <c r="J83" s="13"/>
      <c r="K83" s="5"/>
    </row>
    <row r="84" customFormat="false" ht="15" hidden="false" customHeight="false" outlineLevel="0" collapsed="false">
      <c r="A84" s="5"/>
      <c r="B84" s="13"/>
      <c r="C84" s="5"/>
      <c r="D84" s="5"/>
      <c r="E84" s="15"/>
      <c r="F84" s="15" t="str">
        <f aca="false">IF(E84="","",ROUND(E84*$N$1,2))</f>
        <v/>
      </c>
      <c r="G84" s="15" t="str">
        <f aca="false">IF(E84="","",E84+F84)</f>
        <v/>
      </c>
      <c r="H84" s="5"/>
      <c r="I84" s="5"/>
      <c r="J84" s="13"/>
      <c r="K84" s="5"/>
    </row>
    <row r="85" customFormat="false" ht="15" hidden="false" customHeight="false" outlineLevel="0" collapsed="false">
      <c r="A85" s="5"/>
      <c r="B85" s="13"/>
      <c r="C85" s="5"/>
      <c r="D85" s="5"/>
      <c r="E85" s="15"/>
      <c r="F85" s="15" t="str">
        <f aca="false">IF(E85="","",ROUND(E85*$N$1,2))</f>
        <v/>
      </c>
      <c r="G85" s="15" t="str">
        <f aca="false">IF(E85="","",E85+F85)</f>
        <v/>
      </c>
      <c r="H85" s="5"/>
      <c r="I85" s="5"/>
      <c r="J85" s="13"/>
      <c r="K85" s="5"/>
    </row>
    <row r="86" customFormat="false" ht="15" hidden="false" customHeight="false" outlineLevel="0" collapsed="false">
      <c r="A86" s="5"/>
      <c r="B86" s="13"/>
      <c r="C86" s="5"/>
      <c r="D86" s="5"/>
      <c r="E86" s="15"/>
      <c r="F86" s="15" t="str">
        <f aca="false">IF(E86="","",ROUND(E86*$N$1,2))</f>
        <v/>
      </c>
      <c r="G86" s="15" t="str">
        <f aca="false">IF(E86="","",E86+F86)</f>
        <v/>
      </c>
      <c r="H86" s="5"/>
      <c r="I86" s="5"/>
      <c r="J86" s="13"/>
      <c r="K86" s="5"/>
    </row>
    <row r="87" customFormat="false" ht="15" hidden="false" customHeight="false" outlineLevel="0" collapsed="false">
      <c r="A87" s="5"/>
      <c r="B87" s="13"/>
      <c r="C87" s="5"/>
      <c r="D87" s="5"/>
      <c r="E87" s="15"/>
      <c r="F87" s="15" t="str">
        <f aca="false">IF(E87="","",ROUND(E87*$N$1,2))</f>
        <v/>
      </c>
      <c r="G87" s="15" t="str">
        <f aca="false">IF(E87="","",E87+F87)</f>
        <v/>
      </c>
      <c r="H87" s="5"/>
      <c r="I87" s="5"/>
      <c r="J87" s="13"/>
      <c r="K87" s="5"/>
    </row>
    <row r="88" customFormat="false" ht="15" hidden="false" customHeight="false" outlineLevel="0" collapsed="false">
      <c r="A88" s="5"/>
      <c r="B88" s="13"/>
      <c r="C88" s="5"/>
      <c r="D88" s="5"/>
      <c r="E88" s="15"/>
      <c r="F88" s="15" t="str">
        <f aca="false">IF(E88="","",ROUND(E88*$N$1,2))</f>
        <v/>
      </c>
      <c r="G88" s="15" t="str">
        <f aca="false">IF(E88="","",E88+F88)</f>
        <v/>
      </c>
      <c r="H88" s="5"/>
      <c r="I88" s="5"/>
      <c r="J88" s="13"/>
      <c r="K88" s="5"/>
    </row>
    <row r="89" customFormat="false" ht="15" hidden="false" customHeight="false" outlineLevel="0" collapsed="false">
      <c r="A89" s="5"/>
      <c r="B89" s="13"/>
      <c r="C89" s="5"/>
      <c r="D89" s="5"/>
      <c r="E89" s="15"/>
      <c r="F89" s="15" t="str">
        <f aca="false">IF(E89="","",ROUND(E89*$N$1,2))</f>
        <v/>
      </c>
      <c r="G89" s="15" t="str">
        <f aca="false">IF(E89="","",E89+F89)</f>
        <v/>
      </c>
      <c r="H89" s="5"/>
      <c r="I89" s="5"/>
      <c r="J89" s="13"/>
      <c r="K89" s="5"/>
    </row>
    <row r="90" customFormat="false" ht="15" hidden="false" customHeight="false" outlineLevel="0" collapsed="false">
      <c r="A90" s="5"/>
      <c r="B90" s="13"/>
      <c r="C90" s="5"/>
      <c r="D90" s="5"/>
      <c r="E90" s="15"/>
      <c r="F90" s="15" t="str">
        <f aca="false">IF(E90="","",ROUND(E90*$N$1,2))</f>
        <v/>
      </c>
      <c r="G90" s="15" t="str">
        <f aca="false">IF(E90="","",E90+F90)</f>
        <v/>
      </c>
      <c r="H90" s="5"/>
      <c r="I90" s="5"/>
      <c r="J90" s="13"/>
      <c r="K90" s="5"/>
    </row>
    <row r="91" customFormat="false" ht="15" hidden="false" customHeight="false" outlineLevel="0" collapsed="false">
      <c r="A91" s="5"/>
      <c r="B91" s="13"/>
      <c r="C91" s="5"/>
      <c r="D91" s="5"/>
      <c r="E91" s="15"/>
      <c r="F91" s="15" t="str">
        <f aca="false">IF(E91="","",ROUND(E91*$N$1,2))</f>
        <v/>
      </c>
      <c r="G91" s="15" t="str">
        <f aca="false">IF(E91="","",E91+F91)</f>
        <v/>
      </c>
      <c r="H91" s="5"/>
      <c r="I91" s="5"/>
      <c r="J91" s="13"/>
      <c r="K91" s="5"/>
    </row>
    <row r="92" customFormat="false" ht="15" hidden="false" customHeight="false" outlineLevel="0" collapsed="false">
      <c r="A92" s="5"/>
      <c r="B92" s="13"/>
      <c r="C92" s="5"/>
      <c r="D92" s="5"/>
      <c r="E92" s="15"/>
      <c r="F92" s="15" t="str">
        <f aca="false">IF(E92="","",ROUND(E92*$N$1,2))</f>
        <v/>
      </c>
      <c r="G92" s="15" t="str">
        <f aca="false">IF(E92="","",E92+F92)</f>
        <v/>
      </c>
      <c r="H92" s="5"/>
      <c r="I92" s="5"/>
      <c r="J92" s="13"/>
      <c r="K92" s="5"/>
    </row>
    <row r="93" customFormat="false" ht="15" hidden="false" customHeight="false" outlineLevel="0" collapsed="false">
      <c r="A93" s="5"/>
      <c r="B93" s="13"/>
      <c r="C93" s="5"/>
      <c r="D93" s="5"/>
      <c r="E93" s="15"/>
      <c r="F93" s="15" t="str">
        <f aca="false">IF(E93="","",ROUND(E93*$N$1,2))</f>
        <v/>
      </c>
      <c r="G93" s="15" t="str">
        <f aca="false">IF(E93="","",E93+F93)</f>
        <v/>
      </c>
      <c r="H93" s="5"/>
      <c r="I93" s="5"/>
      <c r="J93" s="13"/>
      <c r="K93" s="5"/>
    </row>
    <row r="94" customFormat="false" ht="15" hidden="false" customHeight="false" outlineLevel="0" collapsed="false">
      <c r="A94" s="5"/>
      <c r="B94" s="13"/>
      <c r="C94" s="5"/>
      <c r="D94" s="5"/>
      <c r="E94" s="15"/>
      <c r="F94" s="15" t="str">
        <f aca="false">IF(E94="","",ROUND(E94*$N$1,2))</f>
        <v/>
      </c>
      <c r="G94" s="15" t="str">
        <f aca="false">IF(E94="","",E94+F94)</f>
        <v/>
      </c>
      <c r="H94" s="5"/>
      <c r="I94" s="5"/>
      <c r="J94" s="13"/>
      <c r="K94" s="5"/>
    </row>
    <row r="95" customFormat="false" ht="15" hidden="false" customHeight="false" outlineLevel="0" collapsed="false">
      <c r="A95" s="5"/>
      <c r="B95" s="13"/>
      <c r="C95" s="5"/>
      <c r="D95" s="5"/>
      <c r="E95" s="15"/>
      <c r="F95" s="15" t="str">
        <f aca="false">IF(E95="","",ROUND(E95*$N$1,2))</f>
        <v/>
      </c>
      <c r="G95" s="15" t="str">
        <f aca="false">IF(E95="","",E95+F95)</f>
        <v/>
      </c>
      <c r="H95" s="5"/>
      <c r="I95" s="5"/>
      <c r="J95" s="13"/>
      <c r="K95" s="5"/>
    </row>
    <row r="96" customFormat="false" ht="15" hidden="false" customHeight="false" outlineLevel="0" collapsed="false">
      <c r="A96" s="5"/>
      <c r="B96" s="13"/>
      <c r="C96" s="5"/>
      <c r="D96" s="5"/>
      <c r="E96" s="15"/>
      <c r="F96" s="15" t="str">
        <f aca="false">IF(E96="","",ROUND(E96*$N$1,2))</f>
        <v/>
      </c>
      <c r="G96" s="15" t="str">
        <f aca="false">IF(E96="","",E96+F96)</f>
        <v/>
      </c>
      <c r="H96" s="5"/>
      <c r="I96" s="5"/>
      <c r="J96" s="13"/>
      <c r="K96" s="5"/>
    </row>
    <row r="97" customFormat="false" ht="15" hidden="false" customHeight="false" outlineLevel="0" collapsed="false">
      <c r="A97" s="5"/>
      <c r="B97" s="13"/>
      <c r="C97" s="5"/>
      <c r="D97" s="5"/>
      <c r="E97" s="15"/>
      <c r="F97" s="15" t="str">
        <f aca="false">IF(E97="","",ROUND(E97*$N$1,2))</f>
        <v/>
      </c>
      <c r="G97" s="15" t="str">
        <f aca="false">IF(E97="","",E97+F97)</f>
        <v/>
      </c>
      <c r="H97" s="5"/>
      <c r="I97" s="5"/>
      <c r="J97" s="13"/>
      <c r="K97" s="5"/>
    </row>
    <row r="98" customFormat="false" ht="15" hidden="false" customHeight="false" outlineLevel="0" collapsed="false">
      <c r="A98" s="5"/>
      <c r="B98" s="13"/>
      <c r="C98" s="5"/>
      <c r="D98" s="5"/>
      <c r="E98" s="15"/>
      <c r="F98" s="15" t="str">
        <f aca="false">IF(E98="","",ROUND(E98*$N$1,2))</f>
        <v/>
      </c>
      <c r="G98" s="15" t="str">
        <f aca="false">IF(E98="","",E98+F98)</f>
        <v/>
      </c>
      <c r="H98" s="5"/>
      <c r="I98" s="5"/>
      <c r="J98" s="13"/>
      <c r="K98" s="5"/>
    </row>
    <row r="99" customFormat="false" ht="15" hidden="false" customHeight="false" outlineLevel="0" collapsed="false">
      <c r="A99" s="5"/>
      <c r="B99" s="13"/>
      <c r="C99" s="5"/>
      <c r="D99" s="5"/>
      <c r="E99" s="15"/>
      <c r="F99" s="15" t="str">
        <f aca="false">IF(E99="","",ROUND(E99*$N$1,2))</f>
        <v/>
      </c>
      <c r="G99" s="15" t="str">
        <f aca="false">IF(E99="","",E99+F99)</f>
        <v/>
      </c>
      <c r="H99" s="5"/>
      <c r="I99" s="5"/>
      <c r="J99" s="13"/>
      <c r="K99" s="5"/>
    </row>
    <row r="100" customFormat="false" ht="15" hidden="false" customHeight="false" outlineLevel="0" collapsed="false">
      <c r="A100" s="5"/>
      <c r="B100" s="13"/>
      <c r="C100" s="5"/>
      <c r="D100" s="5"/>
      <c r="E100" s="15"/>
      <c r="F100" s="15" t="str">
        <f aca="false">IF(E100="","",ROUND(E100*$N$1,2))</f>
        <v/>
      </c>
      <c r="G100" s="15" t="str">
        <f aca="false">IF(E100="","",E100+F100)</f>
        <v/>
      </c>
      <c r="H100" s="5"/>
      <c r="I100" s="5"/>
      <c r="J100" s="13"/>
      <c r="K100" s="5"/>
    </row>
    <row r="101" customFormat="false" ht="15" hidden="false" customHeight="false" outlineLevel="0" collapsed="false">
      <c r="A101" s="5"/>
      <c r="B101" s="13"/>
      <c r="C101" s="5"/>
      <c r="D101" s="5"/>
      <c r="E101" s="15"/>
      <c r="F101" s="15" t="str">
        <f aca="false">IF(E101="","",ROUND(E101*$N$1,2))</f>
        <v/>
      </c>
      <c r="G101" s="15" t="str">
        <f aca="false">IF(E101="","",E101+F101)</f>
        <v/>
      </c>
      <c r="H101" s="5"/>
      <c r="I101" s="5"/>
      <c r="J101" s="13"/>
      <c r="K101" s="5"/>
    </row>
    <row r="102" customFormat="false" ht="15" hidden="false" customHeight="false" outlineLevel="0" collapsed="false">
      <c r="A102" s="5"/>
      <c r="B102" s="13"/>
      <c r="C102" s="5"/>
      <c r="D102" s="5"/>
      <c r="E102" s="15"/>
      <c r="F102" s="15" t="str">
        <f aca="false">IF(E102="","",ROUND(E102*$N$1,2))</f>
        <v/>
      </c>
      <c r="G102" s="15" t="str">
        <f aca="false">IF(E102="","",E102+F102)</f>
        <v/>
      </c>
      <c r="H102" s="5"/>
      <c r="I102" s="5"/>
      <c r="J102" s="13"/>
      <c r="K102" s="5"/>
    </row>
    <row r="103" customFormat="false" ht="15" hidden="false" customHeight="false" outlineLevel="0" collapsed="false">
      <c r="A103" s="5"/>
      <c r="B103" s="13"/>
      <c r="C103" s="5"/>
      <c r="D103" s="5"/>
      <c r="E103" s="15"/>
      <c r="F103" s="15" t="str">
        <f aca="false">IF(E103="","",ROUND(E103*$N$1,2))</f>
        <v/>
      </c>
      <c r="G103" s="15" t="str">
        <f aca="false">IF(E103="","",E103+F103)</f>
        <v/>
      </c>
      <c r="H103" s="5"/>
      <c r="I103" s="5"/>
      <c r="J103" s="13"/>
      <c r="K103" s="5"/>
    </row>
    <row r="104" customFormat="false" ht="15" hidden="false" customHeight="false" outlineLevel="0" collapsed="false">
      <c r="A104" s="5"/>
      <c r="B104" s="13"/>
      <c r="C104" s="5"/>
      <c r="D104" s="5"/>
      <c r="E104" s="15"/>
      <c r="F104" s="15" t="str">
        <f aca="false">IF(E104="","",ROUND(E104*$N$1,2))</f>
        <v/>
      </c>
      <c r="G104" s="15" t="str">
        <f aca="false">IF(E104="","",E104+F104)</f>
        <v/>
      </c>
      <c r="H104" s="5"/>
      <c r="I104" s="5"/>
      <c r="J104" s="13"/>
      <c r="K104" s="5"/>
    </row>
    <row r="105" customFormat="false" ht="15" hidden="false" customHeight="false" outlineLevel="0" collapsed="false">
      <c r="A105" s="5"/>
      <c r="B105" s="13"/>
      <c r="C105" s="5"/>
      <c r="D105" s="5"/>
      <c r="E105" s="15"/>
      <c r="F105" s="15" t="str">
        <f aca="false">IF(E105="","",ROUND(E105*$N$1,2))</f>
        <v/>
      </c>
      <c r="G105" s="15" t="str">
        <f aca="false">IF(E105="","",E105+F105)</f>
        <v/>
      </c>
      <c r="H105" s="5"/>
      <c r="I105" s="5"/>
      <c r="J105" s="13"/>
      <c r="K105" s="5"/>
    </row>
    <row r="106" customFormat="false" ht="15" hidden="false" customHeight="false" outlineLevel="0" collapsed="false">
      <c r="A106" s="5"/>
      <c r="B106" s="13"/>
      <c r="C106" s="5"/>
      <c r="D106" s="5"/>
      <c r="E106" s="15"/>
      <c r="F106" s="15" t="str">
        <f aca="false">IF(E106="","",ROUND(E106*$N$1,2))</f>
        <v/>
      </c>
      <c r="G106" s="15" t="str">
        <f aca="false">IF(E106="","",E106+F106)</f>
        <v/>
      </c>
      <c r="H106" s="5"/>
      <c r="I106" s="5"/>
      <c r="J106" s="13"/>
      <c r="K106" s="5"/>
    </row>
    <row r="107" customFormat="false" ht="15" hidden="false" customHeight="false" outlineLevel="0" collapsed="false">
      <c r="A107" s="5"/>
      <c r="B107" s="13"/>
      <c r="C107" s="5"/>
      <c r="D107" s="5"/>
      <c r="E107" s="15"/>
      <c r="F107" s="15" t="str">
        <f aca="false">IF(E107="","",ROUND(E107*$N$1,2))</f>
        <v/>
      </c>
      <c r="G107" s="15" t="str">
        <f aca="false">IF(E107="","",E107+F107)</f>
        <v/>
      </c>
      <c r="H107" s="5"/>
      <c r="I107" s="5"/>
      <c r="J107" s="13"/>
      <c r="K107" s="5"/>
    </row>
    <row r="108" customFormat="false" ht="15" hidden="false" customHeight="false" outlineLevel="0" collapsed="false">
      <c r="A108" s="5"/>
      <c r="B108" s="13"/>
      <c r="C108" s="5"/>
      <c r="D108" s="5"/>
      <c r="E108" s="15"/>
      <c r="F108" s="15" t="str">
        <f aca="false">IF(E108="","",ROUND(E108*$N$1,2))</f>
        <v/>
      </c>
      <c r="G108" s="15" t="str">
        <f aca="false">IF(E108="","",E108+F108)</f>
        <v/>
      </c>
      <c r="H108" s="5"/>
      <c r="I108" s="5"/>
      <c r="J108" s="13"/>
      <c r="K108" s="5"/>
    </row>
    <row r="109" customFormat="false" ht="15" hidden="false" customHeight="false" outlineLevel="0" collapsed="false">
      <c r="A109" s="5"/>
      <c r="B109" s="13"/>
      <c r="C109" s="5"/>
      <c r="D109" s="5"/>
      <c r="E109" s="15"/>
      <c r="F109" s="15" t="str">
        <f aca="false">IF(E109="","",ROUND(E109*$N$1,2))</f>
        <v/>
      </c>
      <c r="G109" s="15" t="str">
        <f aca="false">IF(E109="","",E109+F109)</f>
        <v/>
      </c>
      <c r="H109" s="5"/>
      <c r="I109" s="5"/>
      <c r="J109" s="13"/>
      <c r="K109" s="5"/>
    </row>
    <row r="110" customFormat="false" ht="15" hidden="false" customHeight="false" outlineLevel="0" collapsed="false">
      <c r="A110" s="5"/>
      <c r="B110" s="13"/>
      <c r="C110" s="5"/>
      <c r="D110" s="5"/>
      <c r="E110" s="15"/>
      <c r="F110" s="15" t="str">
        <f aca="false">IF(E110="","",ROUND(E110*$N$1,2))</f>
        <v/>
      </c>
      <c r="G110" s="15" t="str">
        <f aca="false">IF(E110="","",E110+F110)</f>
        <v/>
      </c>
      <c r="H110" s="5"/>
      <c r="I110" s="5"/>
      <c r="J110" s="13"/>
      <c r="K110" s="5"/>
    </row>
    <row r="111" customFormat="false" ht="15" hidden="false" customHeight="false" outlineLevel="0" collapsed="false">
      <c r="A111" s="5"/>
      <c r="B111" s="13"/>
      <c r="C111" s="5"/>
      <c r="D111" s="5"/>
      <c r="E111" s="15"/>
      <c r="F111" s="15" t="str">
        <f aca="false">IF(E111="","",ROUND(E111*$N$1,2))</f>
        <v/>
      </c>
      <c r="G111" s="15" t="str">
        <f aca="false">IF(E111="","",E111+F111)</f>
        <v/>
      </c>
      <c r="H111" s="5"/>
      <c r="I111" s="5"/>
      <c r="J111" s="13"/>
      <c r="K111" s="5"/>
    </row>
    <row r="112" customFormat="false" ht="15" hidden="false" customHeight="false" outlineLevel="0" collapsed="false">
      <c r="A112" s="5"/>
      <c r="B112" s="13"/>
      <c r="C112" s="5"/>
      <c r="D112" s="5"/>
      <c r="E112" s="15"/>
      <c r="F112" s="15" t="str">
        <f aca="false">IF(E112="","",ROUND(E112*$N$1,2))</f>
        <v/>
      </c>
      <c r="G112" s="15" t="str">
        <f aca="false">IF(E112="","",E112+F112)</f>
        <v/>
      </c>
      <c r="H112" s="5"/>
      <c r="I112" s="5"/>
      <c r="J112" s="13"/>
      <c r="K112" s="5"/>
    </row>
    <row r="113" customFormat="false" ht="15" hidden="false" customHeight="false" outlineLevel="0" collapsed="false">
      <c r="A113" s="5"/>
      <c r="B113" s="13"/>
      <c r="C113" s="5"/>
      <c r="D113" s="5"/>
      <c r="E113" s="15"/>
      <c r="F113" s="15" t="str">
        <f aca="false">IF(E113="","",ROUND(E113*$N$1,2))</f>
        <v/>
      </c>
      <c r="G113" s="15" t="str">
        <f aca="false">IF(E113="","",E113+F113)</f>
        <v/>
      </c>
      <c r="H113" s="5"/>
      <c r="I113" s="5"/>
      <c r="J113" s="13"/>
      <c r="K113" s="5"/>
    </row>
    <row r="114" customFormat="false" ht="15" hidden="false" customHeight="false" outlineLevel="0" collapsed="false">
      <c r="A114" s="5"/>
      <c r="B114" s="13"/>
      <c r="C114" s="5"/>
      <c r="D114" s="5"/>
      <c r="E114" s="15"/>
      <c r="F114" s="15" t="str">
        <f aca="false">IF(E114="","",ROUND(E114*$N$1,2))</f>
        <v/>
      </c>
      <c r="G114" s="15" t="str">
        <f aca="false">IF(E114="","",E114+F114)</f>
        <v/>
      </c>
      <c r="H114" s="5"/>
      <c r="I114" s="5"/>
      <c r="J114" s="13"/>
      <c r="K114" s="5"/>
    </row>
    <row r="115" customFormat="false" ht="15" hidden="false" customHeight="false" outlineLevel="0" collapsed="false">
      <c r="A115" s="5"/>
      <c r="B115" s="13"/>
      <c r="C115" s="5"/>
      <c r="D115" s="5"/>
      <c r="E115" s="15"/>
      <c r="F115" s="15" t="str">
        <f aca="false">IF(E115="","",ROUND(E115*$N$1,2))</f>
        <v/>
      </c>
      <c r="G115" s="15" t="str">
        <f aca="false">IF(E115="","",E115+F115)</f>
        <v/>
      </c>
      <c r="H115" s="5"/>
      <c r="I115" s="5"/>
      <c r="J115" s="13"/>
      <c r="K115" s="5"/>
    </row>
    <row r="116" customFormat="false" ht="15" hidden="false" customHeight="false" outlineLevel="0" collapsed="false">
      <c r="A116" s="5"/>
      <c r="B116" s="13"/>
      <c r="C116" s="5"/>
      <c r="D116" s="5"/>
      <c r="E116" s="15"/>
      <c r="F116" s="15" t="str">
        <f aca="false">IF(E116="","",ROUND(E116*$N$1,2))</f>
        <v/>
      </c>
      <c r="G116" s="15" t="str">
        <f aca="false">IF(E116="","",E116+F116)</f>
        <v/>
      </c>
      <c r="H116" s="5"/>
      <c r="I116" s="5"/>
      <c r="J116" s="13"/>
      <c r="K116" s="5"/>
    </row>
    <row r="117" customFormat="false" ht="15" hidden="false" customHeight="false" outlineLevel="0" collapsed="false">
      <c r="A117" s="5"/>
      <c r="B117" s="13"/>
      <c r="C117" s="5"/>
      <c r="D117" s="5"/>
      <c r="E117" s="15"/>
      <c r="F117" s="15" t="str">
        <f aca="false">IF(E117="","",ROUND(E117*$N$1,2))</f>
        <v/>
      </c>
      <c r="G117" s="15" t="str">
        <f aca="false">IF(E117="","",E117+F117)</f>
        <v/>
      </c>
      <c r="H117" s="5"/>
      <c r="I117" s="5"/>
      <c r="J117" s="13"/>
      <c r="K117" s="5"/>
    </row>
    <row r="118" customFormat="false" ht="15" hidden="false" customHeight="false" outlineLevel="0" collapsed="false">
      <c r="A118" s="5"/>
      <c r="B118" s="13"/>
      <c r="C118" s="5"/>
      <c r="D118" s="5"/>
      <c r="E118" s="15"/>
      <c r="F118" s="15" t="str">
        <f aca="false">IF(E118="","",ROUND(E118*$N$1,2))</f>
        <v/>
      </c>
      <c r="G118" s="15" t="str">
        <f aca="false">IF(E118="","",E118+F118)</f>
        <v/>
      </c>
      <c r="H118" s="5"/>
      <c r="I118" s="5"/>
      <c r="J118" s="13"/>
      <c r="K118" s="5"/>
    </row>
    <row r="119" customFormat="false" ht="15" hidden="false" customHeight="false" outlineLevel="0" collapsed="false">
      <c r="A119" s="5"/>
      <c r="B119" s="13"/>
      <c r="C119" s="5"/>
      <c r="D119" s="5"/>
      <c r="E119" s="15"/>
      <c r="F119" s="15" t="str">
        <f aca="false">IF(E119="","",ROUND(E119*$N$1,2))</f>
        <v/>
      </c>
      <c r="G119" s="15" t="str">
        <f aca="false">IF(E119="","",E119+F119)</f>
        <v/>
      </c>
      <c r="H119" s="5"/>
      <c r="I119" s="5"/>
      <c r="J119" s="13"/>
      <c r="K119" s="5"/>
    </row>
    <row r="120" customFormat="false" ht="15" hidden="false" customHeight="false" outlineLevel="0" collapsed="false">
      <c r="A120" s="5"/>
      <c r="B120" s="13"/>
      <c r="C120" s="5"/>
      <c r="D120" s="5"/>
      <c r="E120" s="15"/>
      <c r="F120" s="15" t="str">
        <f aca="false">IF(E120="","",ROUND(E120*$N$1,2))</f>
        <v/>
      </c>
      <c r="G120" s="15" t="str">
        <f aca="false">IF(E120="","",E120+F120)</f>
        <v/>
      </c>
      <c r="H120" s="5"/>
      <c r="I120" s="5"/>
      <c r="J120" s="13"/>
      <c r="K120" s="5"/>
    </row>
    <row r="121" customFormat="false" ht="15" hidden="false" customHeight="false" outlineLevel="0" collapsed="false">
      <c r="A121" s="5"/>
      <c r="B121" s="13"/>
      <c r="C121" s="5"/>
      <c r="D121" s="5"/>
      <c r="E121" s="15"/>
      <c r="F121" s="15" t="str">
        <f aca="false">IF(E121="","",ROUND(E121*$N$1,2))</f>
        <v/>
      </c>
      <c r="G121" s="15" t="str">
        <f aca="false">IF(E121="","",E121+F121)</f>
        <v/>
      </c>
      <c r="H121" s="5"/>
      <c r="I121" s="5"/>
      <c r="J121" s="13"/>
      <c r="K121" s="5"/>
    </row>
    <row r="122" customFormat="false" ht="15" hidden="false" customHeight="false" outlineLevel="0" collapsed="false">
      <c r="A122" s="5"/>
      <c r="B122" s="13"/>
      <c r="C122" s="5"/>
      <c r="D122" s="5"/>
      <c r="E122" s="15"/>
      <c r="F122" s="15" t="str">
        <f aca="false">IF(E122="","",ROUND(E122*$N$1,2))</f>
        <v/>
      </c>
      <c r="G122" s="15" t="str">
        <f aca="false">IF(E122="","",E122+F122)</f>
        <v/>
      </c>
      <c r="H122" s="5"/>
      <c r="I122" s="5"/>
      <c r="J122" s="13"/>
      <c r="K122" s="5"/>
    </row>
    <row r="123" customFormat="false" ht="15" hidden="false" customHeight="false" outlineLevel="0" collapsed="false">
      <c r="A123" s="5"/>
      <c r="B123" s="13"/>
      <c r="C123" s="5"/>
      <c r="D123" s="5"/>
      <c r="E123" s="15"/>
      <c r="F123" s="15" t="str">
        <f aca="false">IF(E123="","",ROUND(E123*$N$1,2))</f>
        <v/>
      </c>
      <c r="G123" s="15" t="str">
        <f aca="false">IF(E123="","",E123+F123)</f>
        <v/>
      </c>
      <c r="H123" s="5"/>
      <c r="I123" s="5"/>
      <c r="J123" s="13"/>
      <c r="K123" s="5"/>
    </row>
    <row r="124" customFormat="false" ht="15" hidden="false" customHeight="false" outlineLevel="0" collapsed="false">
      <c r="A124" s="5"/>
      <c r="B124" s="13"/>
      <c r="C124" s="5"/>
      <c r="D124" s="5"/>
      <c r="E124" s="15"/>
      <c r="F124" s="15" t="str">
        <f aca="false">IF(E124="","",ROUND(E124*$N$1,2))</f>
        <v/>
      </c>
      <c r="G124" s="15" t="str">
        <f aca="false">IF(E124="","",E124+F124)</f>
        <v/>
      </c>
      <c r="H124" s="5"/>
      <c r="I124" s="5"/>
      <c r="J124" s="13"/>
      <c r="K124" s="5"/>
    </row>
    <row r="125" customFormat="false" ht="15" hidden="false" customHeight="false" outlineLevel="0" collapsed="false">
      <c r="A125" s="5"/>
      <c r="B125" s="13"/>
      <c r="C125" s="5"/>
      <c r="D125" s="5"/>
      <c r="E125" s="15"/>
      <c r="F125" s="15" t="str">
        <f aca="false">IF(E125="","",ROUND(E125*$N$1,2))</f>
        <v/>
      </c>
      <c r="G125" s="15" t="str">
        <f aca="false">IF(E125="","",E125+F125)</f>
        <v/>
      </c>
      <c r="H125" s="5"/>
      <c r="I125" s="5"/>
      <c r="J125" s="13"/>
      <c r="K125" s="5"/>
    </row>
    <row r="126" customFormat="false" ht="15" hidden="false" customHeight="false" outlineLevel="0" collapsed="false">
      <c r="A126" s="5"/>
      <c r="B126" s="13"/>
      <c r="C126" s="5"/>
      <c r="D126" s="5"/>
      <c r="E126" s="15"/>
      <c r="F126" s="15" t="str">
        <f aca="false">IF(E126="","",ROUND(E126*$N$1,2))</f>
        <v/>
      </c>
      <c r="G126" s="15" t="str">
        <f aca="false">IF(E126="","",E126+F126)</f>
        <v/>
      </c>
      <c r="H126" s="5"/>
      <c r="I126" s="5"/>
      <c r="J126" s="13"/>
      <c r="K126" s="5"/>
    </row>
    <row r="127" customFormat="false" ht="15" hidden="false" customHeight="false" outlineLevel="0" collapsed="false">
      <c r="A127" s="5"/>
      <c r="B127" s="13"/>
      <c r="C127" s="5"/>
      <c r="D127" s="5"/>
      <c r="E127" s="15"/>
      <c r="F127" s="15" t="str">
        <f aca="false">IF(E127="","",ROUND(E127*$N$1,2))</f>
        <v/>
      </c>
      <c r="G127" s="15" t="str">
        <f aca="false">IF(E127="","",E127+F127)</f>
        <v/>
      </c>
      <c r="H127" s="5"/>
      <c r="I127" s="5"/>
      <c r="J127" s="13"/>
      <c r="K127" s="5"/>
    </row>
    <row r="128" customFormat="false" ht="15" hidden="false" customHeight="false" outlineLevel="0" collapsed="false">
      <c r="A128" s="5"/>
      <c r="B128" s="13"/>
      <c r="C128" s="5"/>
      <c r="D128" s="5"/>
      <c r="E128" s="15"/>
      <c r="F128" s="15" t="str">
        <f aca="false">IF(E128="","",ROUND(E128*$N$1,2))</f>
        <v/>
      </c>
      <c r="G128" s="15" t="str">
        <f aca="false">IF(E128="","",E128+F128)</f>
        <v/>
      </c>
      <c r="H128" s="5"/>
      <c r="I128" s="5"/>
      <c r="J128" s="13"/>
      <c r="K128" s="5"/>
    </row>
    <row r="129" customFormat="false" ht="15" hidden="false" customHeight="false" outlineLevel="0" collapsed="false">
      <c r="A129" s="5"/>
      <c r="B129" s="13"/>
      <c r="C129" s="5"/>
      <c r="D129" s="5"/>
      <c r="E129" s="15"/>
      <c r="F129" s="15" t="str">
        <f aca="false">IF(E129="","",ROUND(E129*$N$1,2))</f>
        <v/>
      </c>
      <c r="G129" s="15" t="str">
        <f aca="false">IF(E129="","",E129+F129)</f>
        <v/>
      </c>
      <c r="H129" s="5"/>
      <c r="I129" s="5"/>
      <c r="J129" s="13"/>
      <c r="K129" s="5"/>
    </row>
    <row r="130" customFormat="false" ht="15" hidden="false" customHeight="false" outlineLevel="0" collapsed="false">
      <c r="A130" s="5"/>
      <c r="B130" s="13"/>
      <c r="C130" s="5"/>
      <c r="D130" s="5"/>
      <c r="E130" s="15"/>
      <c r="F130" s="15" t="str">
        <f aca="false">IF(E130="","",ROUND(E130*$N$1,2))</f>
        <v/>
      </c>
      <c r="G130" s="15" t="str">
        <f aca="false">IF(E130="","",E130+F130)</f>
        <v/>
      </c>
      <c r="H130" s="5"/>
      <c r="I130" s="5"/>
      <c r="J130" s="13"/>
      <c r="K130" s="5"/>
    </row>
    <row r="131" customFormat="false" ht="15" hidden="false" customHeight="false" outlineLevel="0" collapsed="false">
      <c r="A131" s="5"/>
      <c r="B131" s="13"/>
      <c r="C131" s="5"/>
      <c r="D131" s="5"/>
      <c r="E131" s="15"/>
      <c r="F131" s="15" t="str">
        <f aca="false">IF(E131="","",ROUND(E131*$N$1,2))</f>
        <v/>
      </c>
      <c r="G131" s="15" t="str">
        <f aca="false">IF(E131="","",E131+F131)</f>
        <v/>
      </c>
      <c r="H131" s="5"/>
      <c r="I131" s="5"/>
      <c r="J131" s="13"/>
      <c r="K131" s="5"/>
    </row>
    <row r="132" customFormat="false" ht="15" hidden="false" customHeight="false" outlineLevel="0" collapsed="false">
      <c r="A132" s="5"/>
      <c r="B132" s="13"/>
      <c r="C132" s="5"/>
      <c r="D132" s="5"/>
      <c r="E132" s="15"/>
      <c r="F132" s="15" t="str">
        <f aca="false">IF(E132="","",ROUND(E132*$N$1,2))</f>
        <v/>
      </c>
      <c r="G132" s="15" t="str">
        <f aca="false">IF(E132="","",E132+F132)</f>
        <v/>
      </c>
      <c r="H132" s="5"/>
      <c r="I132" s="5"/>
      <c r="J132" s="13"/>
      <c r="K132" s="5"/>
    </row>
    <row r="133" customFormat="false" ht="15" hidden="false" customHeight="false" outlineLevel="0" collapsed="false">
      <c r="A133" s="5"/>
      <c r="B133" s="13"/>
      <c r="C133" s="5"/>
      <c r="D133" s="5"/>
      <c r="E133" s="15"/>
      <c r="F133" s="15" t="str">
        <f aca="false">IF(E133="","",ROUND(E133*$N$1,2))</f>
        <v/>
      </c>
      <c r="G133" s="15" t="str">
        <f aca="false">IF(E133="","",E133+F133)</f>
        <v/>
      </c>
      <c r="H133" s="5"/>
      <c r="I133" s="5"/>
      <c r="J133" s="13"/>
      <c r="K133" s="5"/>
    </row>
    <row r="134" customFormat="false" ht="15" hidden="false" customHeight="false" outlineLevel="0" collapsed="false">
      <c r="A134" s="5"/>
      <c r="B134" s="13"/>
      <c r="C134" s="5"/>
      <c r="D134" s="5"/>
      <c r="E134" s="15"/>
      <c r="F134" s="15" t="str">
        <f aca="false">IF(E134="","",ROUND(E134*$N$1,2))</f>
        <v/>
      </c>
      <c r="G134" s="15" t="str">
        <f aca="false">IF(E134="","",E134+F134)</f>
        <v/>
      </c>
      <c r="H134" s="5"/>
      <c r="I134" s="5"/>
      <c r="J134" s="13"/>
      <c r="K134" s="5"/>
    </row>
    <row r="135" customFormat="false" ht="15" hidden="false" customHeight="false" outlineLevel="0" collapsed="false">
      <c r="A135" s="5"/>
      <c r="B135" s="13"/>
      <c r="C135" s="5"/>
      <c r="D135" s="5"/>
      <c r="E135" s="15"/>
      <c r="F135" s="15" t="str">
        <f aca="false">IF(E135="","",ROUND(E135*$N$1,2))</f>
        <v/>
      </c>
      <c r="G135" s="15" t="str">
        <f aca="false">IF(E135="","",E135+F135)</f>
        <v/>
      </c>
      <c r="H135" s="5"/>
      <c r="I135" s="5"/>
      <c r="J135" s="13"/>
      <c r="K135" s="5"/>
    </row>
    <row r="136" customFormat="false" ht="15" hidden="false" customHeight="false" outlineLevel="0" collapsed="false">
      <c r="A136" s="5"/>
      <c r="B136" s="13"/>
      <c r="C136" s="5"/>
      <c r="D136" s="5"/>
      <c r="E136" s="15"/>
      <c r="F136" s="15" t="str">
        <f aca="false">IF(E136="","",ROUND(E136*$N$1,2))</f>
        <v/>
      </c>
      <c r="G136" s="15" t="str">
        <f aca="false">IF(E136="","",E136+F136)</f>
        <v/>
      </c>
      <c r="H136" s="5"/>
      <c r="I136" s="5"/>
      <c r="J136" s="13"/>
      <c r="K136" s="5"/>
    </row>
    <row r="137" customFormat="false" ht="15" hidden="false" customHeight="false" outlineLevel="0" collapsed="false">
      <c r="A137" s="5"/>
      <c r="B137" s="13"/>
      <c r="C137" s="5"/>
      <c r="D137" s="5"/>
      <c r="E137" s="15"/>
      <c r="F137" s="15" t="str">
        <f aca="false">IF(E137="","",ROUND(E137*$N$1,2))</f>
        <v/>
      </c>
      <c r="G137" s="15" t="str">
        <f aca="false">IF(E137="","",E137+F137)</f>
        <v/>
      </c>
      <c r="H137" s="5"/>
      <c r="I137" s="5"/>
      <c r="J137" s="13"/>
      <c r="K137" s="5"/>
    </row>
    <row r="138" customFormat="false" ht="15" hidden="false" customHeight="false" outlineLevel="0" collapsed="false">
      <c r="A138" s="5"/>
      <c r="B138" s="13"/>
      <c r="C138" s="5"/>
      <c r="D138" s="5"/>
      <c r="E138" s="15"/>
      <c r="F138" s="15" t="str">
        <f aca="false">IF(E138="","",ROUND(E138*$N$1,2))</f>
        <v/>
      </c>
      <c r="G138" s="15" t="str">
        <f aca="false">IF(E138="","",E138+F138)</f>
        <v/>
      </c>
      <c r="H138" s="5"/>
      <c r="I138" s="5"/>
      <c r="J138" s="13"/>
      <c r="K138" s="5"/>
    </row>
    <row r="139" customFormat="false" ht="15" hidden="false" customHeight="false" outlineLevel="0" collapsed="false">
      <c r="A139" s="5"/>
      <c r="B139" s="13"/>
      <c r="C139" s="5"/>
      <c r="D139" s="5"/>
      <c r="E139" s="15"/>
      <c r="F139" s="15" t="str">
        <f aca="false">IF(E139="","",ROUND(E139*$N$1,2))</f>
        <v/>
      </c>
      <c r="G139" s="15" t="str">
        <f aca="false">IF(E139="","",E139+F139)</f>
        <v/>
      </c>
      <c r="H139" s="5"/>
      <c r="I139" s="5"/>
      <c r="J139" s="13"/>
      <c r="K139" s="5"/>
    </row>
    <row r="140" customFormat="false" ht="15" hidden="false" customHeight="false" outlineLevel="0" collapsed="false">
      <c r="A140" s="5"/>
      <c r="B140" s="13"/>
      <c r="C140" s="5"/>
      <c r="D140" s="5"/>
      <c r="E140" s="15"/>
      <c r="F140" s="15" t="str">
        <f aca="false">IF(E140="","",ROUND(E140*$N$1,2))</f>
        <v/>
      </c>
      <c r="G140" s="15" t="str">
        <f aca="false">IF(E140="","",E140+F140)</f>
        <v/>
      </c>
      <c r="H140" s="5"/>
      <c r="I140" s="5"/>
      <c r="J140" s="13"/>
      <c r="K140" s="5"/>
    </row>
    <row r="141" customFormat="false" ht="15" hidden="false" customHeight="false" outlineLevel="0" collapsed="false">
      <c r="A141" s="5"/>
      <c r="B141" s="13"/>
      <c r="C141" s="5"/>
      <c r="D141" s="5"/>
      <c r="E141" s="15"/>
      <c r="F141" s="15" t="str">
        <f aca="false">IF(E141="","",ROUND(E141*$N$1,2))</f>
        <v/>
      </c>
      <c r="G141" s="15" t="str">
        <f aca="false">IF(E141="","",E141+F141)</f>
        <v/>
      </c>
      <c r="H141" s="5"/>
      <c r="I141" s="5"/>
      <c r="J141" s="13"/>
      <c r="K141" s="5"/>
    </row>
    <row r="142" customFormat="false" ht="15" hidden="false" customHeight="false" outlineLevel="0" collapsed="false">
      <c r="A142" s="5"/>
      <c r="B142" s="13"/>
      <c r="C142" s="5"/>
      <c r="D142" s="5"/>
      <c r="E142" s="15"/>
      <c r="F142" s="15" t="str">
        <f aca="false">IF(E142="","",ROUND(E142*$N$1,2))</f>
        <v/>
      </c>
      <c r="G142" s="15" t="str">
        <f aca="false">IF(E142="","",E142+F142)</f>
        <v/>
      </c>
      <c r="H142" s="5"/>
      <c r="I142" s="5"/>
      <c r="J142" s="13"/>
      <c r="K142" s="5"/>
    </row>
    <row r="143" customFormat="false" ht="15" hidden="false" customHeight="false" outlineLevel="0" collapsed="false">
      <c r="A143" s="5"/>
      <c r="B143" s="13"/>
      <c r="C143" s="5"/>
      <c r="D143" s="5"/>
      <c r="E143" s="15"/>
      <c r="F143" s="15" t="str">
        <f aca="false">IF(E143="","",ROUND(E143*$N$1,2))</f>
        <v/>
      </c>
      <c r="G143" s="15" t="str">
        <f aca="false">IF(E143="","",E143+F143)</f>
        <v/>
      </c>
      <c r="H143" s="5"/>
      <c r="I143" s="5"/>
      <c r="J143" s="13"/>
      <c r="K143" s="5"/>
    </row>
    <row r="144" customFormat="false" ht="15" hidden="false" customHeight="false" outlineLevel="0" collapsed="false">
      <c r="A144" s="5"/>
      <c r="B144" s="13"/>
      <c r="C144" s="5"/>
      <c r="D144" s="5"/>
      <c r="E144" s="15"/>
      <c r="F144" s="15" t="str">
        <f aca="false">IF(E144="","",ROUND(E144*$N$1,2))</f>
        <v/>
      </c>
      <c r="G144" s="15" t="str">
        <f aca="false">IF(E144="","",E144+F144)</f>
        <v/>
      </c>
      <c r="H144" s="5"/>
      <c r="I144" s="5"/>
      <c r="J144" s="13"/>
      <c r="K144" s="5"/>
    </row>
    <row r="145" customFormat="false" ht="15" hidden="false" customHeight="false" outlineLevel="0" collapsed="false">
      <c r="A145" s="5"/>
      <c r="B145" s="13"/>
      <c r="C145" s="5"/>
      <c r="D145" s="5"/>
      <c r="E145" s="15"/>
      <c r="F145" s="15" t="str">
        <f aca="false">IF(E145="","",ROUND(E145*$N$1,2))</f>
        <v/>
      </c>
      <c r="G145" s="15" t="str">
        <f aca="false">IF(E145="","",E145+F145)</f>
        <v/>
      </c>
      <c r="H145" s="5"/>
      <c r="I145" s="5"/>
      <c r="J145" s="13"/>
      <c r="K145" s="5"/>
    </row>
    <row r="146" customFormat="false" ht="15" hidden="false" customHeight="false" outlineLevel="0" collapsed="false">
      <c r="A146" s="5"/>
      <c r="B146" s="13"/>
      <c r="C146" s="5"/>
      <c r="D146" s="5"/>
      <c r="E146" s="15"/>
      <c r="F146" s="15" t="str">
        <f aca="false">IF(E146="","",ROUND(E146*$N$1,2))</f>
        <v/>
      </c>
      <c r="G146" s="15" t="str">
        <f aca="false">IF(E146="","",E146+F146)</f>
        <v/>
      </c>
      <c r="H146" s="5"/>
      <c r="I146" s="5"/>
      <c r="J146" s="13"/>
      <c r="K146" s="5"/>
    </row>
    <row r="147" customFormat="false" ht="15" hidden="false" customHeight="false" outlineLevel="0" collapsed="false">
      <c r="A147" s="5"/>
      <c r="B147" s="13"/>
      <c r="C147" s="5"/>
      <c r="D147" s="5"/>
      <c r="E147" s="15"/>
      <c r="F147" s="15" t="str">
        <f aca="false">IF(E147="","",ROUND(E147*$N$1,2))</f>
        <v/>
      </c>
      <c r="G147" s="15" t="str">
        <f aca="false">IF(E147="","",E147+F147)</f>
        <v/>
      </c>
      <c r="H147" s="5"/>
      <c r="I147" s="5"/>
      <c r="J147" s="13"/>
      <c r="K147" s="5"/>
    </row>
    <row r="148" customFormat="false" ht="15" hidden="false" customHeight="false" outlineLevel="0" collapsed="false">
      <c r="A148" s="5"/>
      <c r="B148" s="13"/>
      <c r="C148" s="5"/>
      <c r="D148" s="5"/>
      <c r="E148" s="15"/>
      <c r="F148" s="15" t="str">
        <f aca="false">IF(E148="","",ROUND(E148*$N$1,2))</f>
        <v/>
      </c>
      <c r="G148" s="15" t="str">
        <f aca="false">IF(E148="","",E148+F148)</f>
        <v/>
      </c>
      <c r="H148" s="5"/>
      <c r="I148" s="5"/>
      <c r="J148" s="13"/>
      <c r="K148" s="5"/>
    </row>
    <row r="149" customFormat="false" ht="15" hidden="false" customHeight="false" outlineLevel="0" collapsed="false">
      <c r="A149" s="5"/>
      <c r="B149" s="13"/>
      <c r="C149" s="5"/>
      <c r="D149" s="5"/>
      <c r="E149" s="15"/>
      <c r="F149" s="15" t="str">
        <f aca="false">IF(E149="","",ROUND(E149*$N$1,2))</f>
        <v/>
      </c>
      <c r="G149" s="15" t="str">
        <f aca="false">IF(E149="","",E149+F149)</f>
        <v/>
      </c>
      <c r="H149" s="5"/>
      <c r="I149" s="5"/>
      <c r="J149" s="13"/>
      <c r="K149" s="5"/>
    </row>
    <row r="150" customFormat="false" ht="15" hidden="false" customHeight="false" outlineLevel="0" collapsed="false">
      <c r="A150" s="5"/>
      <c r="B150" s="13"/>
      <c r="C150" s="5"/>
      <c r="D150" s="5"/>
      <c r="E150" s="15"/>
      <c r="F150" s="15" t="str">
        <f aca="false">IF(E150="","",ROUND(E150*$N$1,2))</f>
        <v/>
      </c>
      <c r="G150" s="15" t="str">
        <f aca="false">IF(E150="","",E150+F150)</f>
        <v/>
      </c>
      <c r="H150" s="5"/>
      <c r="I150" s="5"/>
      <c r="J150" s="13"/>
      <c r="K150" s="5"/>
    </row>
    <row r="151" customFormat="false" ht="15" hidden="false" customHeight="false" outlineLevel="0" collapsed="false">
      <c r="A151" s="5"/>
      <c r="B151" s="13"/>
      <c r="C151" s="5"/>
      <c r="D151" s="5"/>
      <c r="E151" s="15"/>
      <c r="F151" s="15" t="str">
        <f aca="false">IF(E151="","",ROUND(E151*$N$1,2))</f>
        <v/>
      </c>
      <c r="G151" s="15" t="str">
        <f aca="false">IF(E151="","",E151+F151)</f>
        <v/>
      </c>
      <c r="H151" s="5"/>
      <c r="I151" s="5"/>
      <c r="J151" s="13"/>
      <c r="K151" s="5"/>
    </row>
    <row r="152" customFormat="false" ht="15" hidden="false" customHeight="false" outlineLevel="0" collapsed="false">
      <c r="A152" s="5"/>
      <c r="B152" s="13"/>
      <c r="C152" s="5"/>
      <c r="D152" s="5"/>
      <c r="E152" s="15"/>
      <c r="F152" s="15" t="str">
        <f aca="false">IF(E152="","",ROUND(E152*$N$1,2))</f>
        <v/>
      </c>
      <c r="G152" s="15" t="str">
        <f aca="false">IF(E152="","",E152+F152)</f>
        <v/>
      </c>
      <c r="H152" s="5"/>
      <c r="I152" s="5"/>
      <c r="J152" s="13"/>
      <c r="K152" s="5"/>
    </row>
    <row r="153" customFormat="false" ht="15" hidden="false" customHeight="false" outlineLevel="0" collapsed="false">
      <c r="A153" s="5"/>
      <c r="B153" s="13"/>
      <c r="C153" s="5"/>
      <c r="D153" s="5"/>
      <c r="E153" s="15"/>
      <c r="F153" s="15" t="str">
        <f aca="false">IF(E153="","",ROUND(E153*$N$1,2))</f>
        <v/>
      </c>
      <c r="G153" s="15" t="str">
        <f aca="false">IF(E153="","",E153+F153)</f>
        <v/>
      </c>
      <c r="H153" s="5"/>
      <c r="I153" s="5"/>
      <c r="J153" s="13"/>
      <c r="K153" s="5"/>
    </row>
    <row r="154" customFormat="false" ht="15" hidden="false" customHeight="false" outlineLevel="0" collapsed="false">
      <c r="A154" s="5"/>
      <c r="B154" s="13"/>
      <c r="C154" s="5"/>
      <c r="D154" s="5"/>
      <c r="E154" s="15"/>
      <c r="F154" s="15" t="str">
        <f aca="false">IF(E154="","",ROUND(E154*$N$1,2))</f>
        <v/>
      </c>
      <c r="G154" s="15" t="str">
        <f aca="false">IF(E154="","",E154+F154)</f>
        <v/>
      </c>
      <c r="H154" s="5"/>
      <c r="I154" s="5"/>
      <c r="J154" s="13"/>
      <c r="K154" s="5"/>
    </row>
    <row r="155" customFormat="false" ht="15" hidden="false" customHeight="false" outlineLevel="0" collapsed="false">
      <c r="A155" s="5"/>
      <c r="B155" s="13"/>
      <c r="C155" s="5"/>
      <c r="D155" s="5"/>
      <c r="E155" s="15"/>
      <c r="F155" s="15" t="str">
        <f aca="false">IF(E155="","",ROUND(E155*$N$1,2))</f>
        <v/>
      </c>
      <c r="G155" s="15" t="str">
        <f aca="false">IF(E155="","",E155+F155)</f>
        <v/>
      </c>
      <c r="H155" s="5"/>
      <c r="I155" s="5"/>
      <c r="J155" s="13"/>
      <c r="K155" s="5"/>
    </row>
    <row r="156" customFormat="false" ht="15" hidden="false" customHeight="false" outlineLevel="0" collapsed="false">
      <c r="A156" s="5"/>
      <c r="B156" s="13"/>
      <c r="C156" s="5"/>
      <c r="D156" s="5"/>
      <c r="E156" s="15"/>
      <c r="F156" s="15" t="str">
        <f aca="false">IF(E156="","",ROUND(E156*$N$1,2))</f>
        <v/>
      </c>
      <c r="G156" s="15" t="str">
        <f aca="false">IF(E156="","",E156+F156)</f>
        <v/>
      </c>
      <c r="H156" s="5"/>
      <c r="I156" s="5"/>
      <c r="J156" s="13"/>
      <c r="K156" s="5"/>
    </row>
    <row r="157" customFormat="false" ht="15" hidden="false" customHeight="false" outlineLevel="0" collapsed="false">
      <c r="A157" s="5"/>
      <c r="B157" s="13"/>
      <c r="C157" s="5"/>
      <c r="D157" s="5"/>
      <c r="E157" s="15"/>
      <c r="F157" s="15" t="str">
        <f aca="false">IF(E157="","",ROUND(E157*$N$1,2))</f>
        <v/>
      </c>
      <c r="G157" s="15" t="str">
        <f aca="false">IF(E157="","",E157+F157)</f>
        <v/>
      </c>
      <c r="H157" s="5"/>
      <c r="I157" s="5"/>
      <c r="J157" s="13"/>
      <c r="K157" s="5"/>
    </row>
    <row r="158" customFormat="false" ht="15" hidden="false" customHeight="false" outlineLevel="0" collapsed="false">
      <c r="A158" s="5"/>
      <c r="B158" s="13"/>
      <c r="C158" s="5"/>
      <c r="D158" s="5"/>
      <c r="E158" s="15"/>
      <c r="F158" s="15" t="str">
        <f aca="false">IF(E158="","",ROUND(E158*$N$1,2))</f>
        <v/>
      </c>
      <c r="G158" s="15" t="str">
        <f aca="false">IF(E158="","",E158+F158)</f>
        <v/>
      </c>
      <c r="H158" s="5"/>
      <c r="I158" s="5"/>
      <c r="J158" s="13"/>
      <c r="K158" s="5"/>
    </row>
    <row r="159" customFormat="false" ht="15" hidden="false" customHeight="false" outlineLevel="0" collapsed="false">
      <c r="A159" s="5"/>
      <c r="B159" s="13"/>
      <c r="C159" s="5"/>
      <c r="D159" s="5"/>
      <c r="E159" s="15"/>
      <c r="F159" s="15" t="str">
        <f aca="false">IF(E159="","",ROUND(E159*$N$1,2))</f>
        <v/>
      </c>
      <c r="G159" s="15" t="str">
        <f aca="false">IF(E159="","",E159+F159)</f>
        <v/>
      </c>
      <c r="H159" s="5"/>
      <c r="I159" s="5"/>
      <c r="J159" s="13"/>
      <c r="K159" s="5"/>
    </row>
    <row r="160" customFormat="false" ht="15" hidden="false" customHeight="false" outlineLevel="0" collapsed="false">
      <c r="A160" s="5"/>
      <c r="B160" s="13"/>
      <c r="C160" s="5"/>
      <c r="D160" s="5"/>
      <c r="E160" s="15"/>
      <c r="F160" s="15" t="str">
        <f aca="false">IF(E160="","",ROUND(E160*$N$1,2))</f>
        <v/>
      </c>
      <c r="G160" s="15" t="str">
        <f aca="false">IF(E160="","",E160+F160)</f>
        <v/>
      </c>
      <c r="H160" s="5"/>
      <c r="I160" s="5"/>
      <c r="J160" s="13"/>
      <c r="K160" s="5"/>
    </row>
    <row r="161" customFormat="false" ht="15" hidden="false" customHeight="false" outlineLevel="0" collapsed="false">
      <c r="A161" s="5"/>
      <c r="B161" s="13"/>
      <c r="C161" s="5"/>
      <c r="D161" s="5"/>
      <c r="E161" s="15"/>
      <c r="F161" s="15" t="str">
        <f aca="false">IF(E161="","",ROUND(E161*$N$1,2))</f>
        <v/>
      </c>
      <c r="G161" s="15" t="str">
        <f aca="false">IF(E161="","",E161+F161)</f>
        <v/>
      </c>
      <c r="H161" s="5"/>
      <c r="I161" s="5"/>
      <c r="J161" s="13"/>
      <c r="K161" s="5"/>
    </row>
    <row r="162" customFormat="false" ht="15" hidden="false" customHeight="false" outlineLevel="0" collapsed="false">
      <c r="A162" s="5"/>
      <c r="B162" s="13"/>
      <c r="C162" s="5"/>
      <c r="D162" s="5"/>
      <c r="E162" s="15"/>
      <c r="F162" s="15" t="str">
        <f aca="false">IF(E162="","",ROUND(E162*$N$1,2))</f>
        <v/>
      </c>
      <c r="G162" s="15" t="str">
        <f aca="false">IF(E162="","",E162+F162)</f>
        <v/>
      </c>
      <c r="H162" s="5"/>
      <c r="I162" s="5"/>
      <c r="J162" s="13"/>
      <c r="K162" s="5"/>
    </row>
    <row r="163" customFormat="false" ht="15" hidden="false" customHeight="false" outlineLevel="0" collapsed="false">
      <c r="A163" s="5"/>
      <c r="B163" s="13"/>
      <c r="C163" s="5"/>
      <c r="D163" s="5"/>
      <c r="E163" s="15"/>
      <c r="F163" s="15" t="str">
        <f aca="false">IF(E163="","",ROUND(E163*$N$1,2))</f>
        <v/>
      </c>
      <c r="G163" s="15" t="str">
        <f aca="false">IF(E163="","",E163+F163)</f>
        <v/>
      </c>
      <c r="H163" s="5"/>
      <c r="I163" s="5"/>
      <c r="J163" s="13"/>
      <c r="K163" s="5"/>
    </row>
    <row r="164" customFormat="false" ht="15" hidden="false" customHeight="false" outlineLevel="0" collapsed="false">
      <c r="A164" s="5"/>
      <c r="B164" s="13"/>
      <c r="C164" s="5"/>
      <c r="D164" s="5"/>
      <c r="E164" s="15"/>
      <c r="F164" s="15" t="str">
        <f aca="false">IF(E164="","",ROUND(E164*$N$1,2))</f>
        <v/>
      </c>
      <c r="G164" s="15" t="str">
        <f aca="false">IF(E164="","",E164+F164)</f>
        <v/>
      </c>
      <c r="H164" s="5"/>
      <c r="I164" s="5"/>
      <c r="J164" s="13"/>
      <c r="K164" s="5"/>
    </row>
    <row r="165" customFormat="false" ht="15" hidden="false" customHeight="false" outlineLevel="0" collapsed="false">
      <c r="A165" s="5"/>
      <c r="B165" s="13"/>
      <c r="C165" s="5"/>
      <c r="D165" s="5"/>
      <c r="E165" s="15"/>
      <c r="F165" s="15" t="str">
        <f aca="false">IF(E165="","",ROUND(E165*$N$1,2))</f>
        <v/>
      </c>
      <c r="G165" s="15" t="str">
        <f aca="false">IF(E165="","",E165+F165)</f>
        <v/>
      </c>
      <c r="H165" s="5"/>
      <c r="I165" s="5"/>
      <c r="J165" s="13"/>
      <c r="K165" s="5"/>
    </row>
    <row r="166" customFormat="false" ht="15" hidden="false" customHeight="false" outlineLevel="0" collapsed="false">
      <c r="A166" s="5"/>
      <c r="B166" s="13"/>
      <c r="C166" s="5"/>
      <c r="D166" s="5"/>
      <c r="E166" s="15"/>
      <c r="F166" s="15" t="str">
        <f aca="false">IF(E166="","",ROUND(E166*$N$1,2))</f>
        <v/>
      </c>
      <c r="G166" s="15" t="str">
        <f aca="false">IF(E166="","",E166+F166)</f>
        <v/>
      </c>
      <c r="H166" s="5"/>
      <c r="I166" s="5"/>
      <c r="J166" s="13"/>
      <c r="K166" s="5"/>
    </row>
    <row r="167" customFormat="false" ht="15" hidden="false" customHeight="false" outlineLevel="0" collapsed="false">
      <c r="A167" s="5"/>
      <c r="B167" s="13"/>
      <c r="C167" s="5"/>
      <c r="D167" s="5"/>
      <c r="E167" s="15"/>
      <c r="F167" s="15" t="str">
        <f aca="false">IF(E167="","",ROUND(E167*$N$1,2))</f>
        <v/>
      </c>
      <c r="G167" s="15" t="str">
        <f aca="false">IF(E167="","",E167+F167)</f>
        <v/>
      </c>
      <c r="H167" s="5"/>
      <c r="I167" s="5"/>
      <c r="J167" s="13"/>
      <c r="K167" s="5"/>
    </row>
    <row r="168" customFormat="false" ht="15" hidden="false" customHeight="false" outlineLevel="0" collapsed="false">
      <c r="A168" s="5"/>
      <c r="B168" s="13"/>
      <c r="C168" s="5"/>
      <c r="D168" s="5"/>
      <c r="E168" s="15"/>
      <c r="F168" s="15" t="str">
        <f aca="false">IF(E168="","",ROUND(E168*$N$1,2))</f>
        <v/>
      </c>
      <c r="G168" s="15" t="str">
        <f aca="false">IF(E168="","",E168+F168)</f>
        <v/>
      </c>
      <c r="H168" s="5"/>
      <c r="I168" s="5"/>
      <c r="J168" s="13"/>
      <c r="K168" s="5"/>
    </row>
    <row r="169" customFormat="false" ht="15" hidden="false" customHeight="false" outlineLevel="0" collapsed="false">
      <c r="A169" s="5"/>
      <c r="B169" s="13"/>
      <c r="C169" s="5"/>
      <c r="D169" s="5"/>
      <c r="E169" s="15"/>
      <c r="F169" s="15" t="str">
        <f aca="false">IF(E169="","",ROUND(E169*$N$1,2))</f>
        <v/>
      </c>
      <c r="G169" s="15" t="str">
        <f aca="false">IF(E169="","",E169+F169)</f>
        <v/>
      </c>
      <c r="H169" s="5"/>
      <c r="I169" s="5"/>
      <c r="J169" s="13"/>
      <c r="K169" s="5"/>
    </row>
    <row r="170" customFormat="false" ht="15" hidden="false" customHeight="false" outlineLevel="0" collapsed="false">
      <c r="A170" s="5"/>
      <c r="B170" s="13"/>
      <c r="C170" s="5"/>
      <c r="D170" s="5"/>
      <c r="E170" s="15"/>
      <c r="F170" s="15" t="str">
        <f aca="false">IF(E170="","",ROUND(E170*$N$1,2))</f>
        <v/>
      </c>
      <c r="G170" s="15" t="str">
        <f aca="false">IF(E170="","",E170+F170)</f>
        <v/>
      </c>
      <c r="H170" s="5"/>
      <c r="I170" s="5"/>
      <c r="J170" s="13"/>
      <c r="K170" s="5"/>
    </row>
    <row r="171" customFormat="false" ht="15" hidden="false" customHeight="false" outlineLevel="0" collapsed="false">
      <c r="A171" s="5"/>
      <c r="B171" s="13"/>
      <c r="C171" s="5"/>
      <c r="D171" s="5"/>
      <c r="E171" s="15"/>
      <c r="F171" s="15" t="str">
        <f aca="false">IF(E171="","",ROUND(E171*$N$1,2))</f>
        <v/>
      </c>
      <c r="G171" s="15" t="str">
        <f aca="false">IF(E171="","",E171+F171)</f>
        <v/>
      </c>
      <c r="H171" s="5"/>
      <c r="I171" s="5"/>
      <c r="J171" s="13"/>
      <c r="K171" s="5"/>
    </row>
    <row r="172" customFormat="false" ht="15" hidden="false" customHeight="false" outlineLevel="0" collapsed="false">
      <c r="A172" s="5"/>
      <c r="B172" s="13"/>
      <c r="C172" s="5"/>
      <c r="D172" s="5"/>
      <c r="E172" s="15"/>
      <c r="F172" s="15" t="str">
        <f aca="false">IF(E172="","",ROUND(E172*$N$1,2))</f>
        <v/>
      </c>
      <c r="G172" s="15" t="str">
        <f aca="false">IF(E172="","",E172+F172)</f>
        <v/>
      </c>
      <c r="H172" s="5"/>
      <c r="I172" s="5"/>
      <c r="J172" s="13"/>
      <c r="K172" s="5"/>
    </row>
    <row r="173" customFormat="false" ht="15" hidden="false" customHeight="false" outlineLevel="0" collapsed="false">
      <c r="A173" s="5"/>
      <c r="B173" s="13"/>
      <c r="C173" s="5"/>
      <c r="D173" s="5"/>
      <c r="E173" s="15"/>
      <c r="F173" s="15" t="str">
        <f aca="false">IF(E173="","",ROUND(E173*$N$1,2))</f>
        <v/>
      </c>
      <c r="G173" s="15" t="str">
        <f aca="false">IF(E173="","",E173+F173)</f>
        <v/>
      </c>
      <c r="H173" s="5"/>
      <c r="I173" s="5"/>
      <c r="J173" s="13"/>
      <c r="K173" s="5"/>
    </row>
    <row r="174" customFormat="false" ht="15" hidden="false" customHeight="false" outlineLevel="0" collapsed="false">
      <c r="A174" s="5"/>
      <c r="B174" s="13"/>
      <c r="C174" s="5"/>
      <c r="D174" s="5"/>
      <c r="E174" s="15"/>
      <c r="F174" s="15" t="str">
        <f aca="false">IF(E174="","",ROUND(E174*$N$1,2))</f>
        <v/>
      </c>
      <c r="G174" s="15" t="str">
        <f aca="false">IF(E174="","",E174+F174)</f>
        <v/>
      </c>
      <c r="H174" s="5"/>
      <c r="I174" s="5"/>
      <c r="J174" s="13"/>
      <c r="K174" s="5"/>
    </row>
    <row r="175" customFormat="false" ht="15" hidden="false" customHeight="false" outlineLevel="0" collapsed="false">
      <c r="A175" s="5"/>
      <c r="B175" s="13"/>
      <c r="C175" s="5"/>
      <c r="D175" s="5"/>
      <c r="E175" s="15"/>
      <c r="F175" s="15" t="str">
        <f aca="false">IF(E175="","",ROUND(E175*$N$1,2))</f>
        <v/>
      </c>
      <c r="G175" s="15" t="str">
        <f aca="false">IF(E175="","",E175+F175)</f>
        <v/>
      </c>
      <c r="H175" s="5"/>
      <c r="I175" s="5"/>
      <c r="J175" s="13"/>
      <c r="K175" s="5"/>
    </row>
    <row r="176" customFormat="false" ht="15" hidden="false" customHeight="false" outlineLevel="0" collapsed="false">
      <c r="A176" s="5"/>
      <c r="B176" s="13"/>
      <c r="C176" s="5"/>
      <c r="D176" s="5"/>
      <c r="E176" s="15"/>
      <c r="F176" s="15" t="str">
        <f aca="false">IF(E176="","",ROUND(E176*$N$1,2))</f>
        <v/>
      </c>
      <c r="G176" s="15" t="str">
        <f aca="false">IF(E176="","",E176+F176)</f>
        <v/>
      </c>
      <c r="H176" s="5"/>
      <c r="I176" s="5"/>
      <c r="J176" s="13"/>
      <c r="K176" s="5"/>
    </row>
    <row r="177" customFormat="false" ht="15" hidden="false" customHeight="false" outlineLevel="0" collapsed="false">
      <c r="A177" s="5"/>
      <c r="B177" s="13"/>
      <c r="C177" s="5"/>
      <c r="D177" s="5"/>
      <c r="E177" s="15"/>
      <c r="F177" s="15" t="str">
        <f aca="false">IF(E177="","",ROUND(E177*$N$1,2))</f>
        <v/>
      </c>
      <c r="G177" s="15" t="str">
        <f aca="false">IF(E177="","",E177+F177)</f>
        <v/>
      </c>
      <c r="H177" s="5"/>
      <c r="I177" s="5"/>
      <c r="J177" s="13"/>
      <c r="K177" s="5"/>
    </row>
    <row r="178" customFormat="false" ht="15" hidden="false" customHeight="false" outlineLevel="0" collapsed="false">
      <c r="A178" s="5"/>
      <c r="B178" s="13"/>
      <c r="C178" s="5"/>
      <c r="D178" s="5"/>
      <c r="E178" s="15"/>
      <c r="F178" s="15" t="str">
        <f aca="false">IF(E178="","",ROUND(E178*$N$1,2))</f>
        <v/>
      </c>
      <c r="G178" s="15" t="str">
        <f aca="false">IF(E178="","",E178+F178)</f>
        <v/>
      </c>
      <c r="H178" s="5"/>
      <c r="I178" s="5"/>
      <c r="J178" s="13"/>
      <c r="K178" s="5"/>
    </row>
    <row r="179" customFormat="false" ht="15" hidden="false" customHeight="false" outlineLevel="0" collapsed="false">
      <c r="A179" s="5"/>
      <c r="B179" s="13"/>
      <c r="C179" s="5"/>
      <c r="D179" s="5"/>
      <c r="E179" s="15"/>
      <c r="F179" s="15" t="str">
        <f aca="false">IF(E179="","",ROUND(E179*$N$1,2))</f>
        <v/>
      </c>
      <c r="G179" s="15" t="str">
        <f aca="false">IF(E179="","",E179+F179)</f>
        <v/>
      </c>
      <c r="H179" s="5"/>
      <c r="I179" s="5"/>
      <c r="J179" s="13"/>
      <c r="K179" s="5"/>
    </row>
    <row r="180" customFormat="false" ht="15" hidden="false" customHeight="false" outlineLevel="0" collapsed="false">
      <c r="A180" s="5"/>
      <c r="B180" s="13"/>
      <c r="C180" s="5"/>
      <c r="D180" s="5"/>
      <c r="E180" s="15"/>
      <c r="F180" s="15" t="str">
        <f aca="false">IF(E180="","",ROUND(E180*$N$1,2))</f>
        <v/>
      </c>
      <c r="G180" s="15" t="str">
        <f aca="false">IF(E180="","",E180+F180)</f>
        <v/>
      </c>
      <c r="H180" s="5"/>
      <c r="I180" s="5"/>
      <c r="J180" s="13"/>
      <c r="K180" s="5"/>
    </row>
    <row r="181" customFormat="false" ht="15" hidden="false" customHeight="false" outlineLevel="0" collapsed="false">
      <c r="A181" s="5"/>
      <c r="B181" s="13"/>
      <c r="C181" s="5"/>
      <c r="D181" s="5"/>
      <c r="E181" s="15"/>
      <c r="F181" s="15" t="str">
        <f aca="false">IF(E181="","",ROUND(E181*$N$1,2))</f>
        <v/>
      </c>
      <c r="G181" s="15" t="str">
        <f aca="false">IF(E181="","",E181+F181)</f>
        <v/>
      </c>
      <c r="H181" s="5"/>
      <c r="I181" s="5"/>
      <c r="J181" s="13"/>
      <c r="K181" s="5"/>
    </row>
    <row r="182" customFormat="false" ht="15" hidden="false" customHeight="false" outlineLevel="0" collapsed="false">
      <c r="A182" s="5"/>
      <c r="B182" s="13"/>
      <c r="C182" s="5"/>
      <c r="D182" s="5"/>
      <c r="E182" s="15"/>
      <c r="F182" s="15" t="str">
        <f aca="false">IF(E182="","",ROUND(E182*$N$1,2))</f>
        <v/>
      </c>
      <c r="G182" s="15" t="str">
        <f aca="false">IF(E182="","",E182+F182)</f>
        <v/>
      </c>
      <c r="H182" s="5"/>
      <c r="I182" s="5"/>
      <c r="J182" s="13"/>
      <c r="K182" s="5"/>
    </row>
    <row r="183" customFormat="false" ht="15" hidden="false" customHeight="false" outlineLevel="0" collapsed="false">
      <c r="A183" s="5"/>
      <c r="B183" s="13"/>
      <c r="C183" s="5"/>
      <c r="D183" s="5"/>
      <c r="E183" s="15"/>
      <c r="F183" s="15" t="str">
        <f aca="false">IF(E183="","",ROUND(E183*$N$1,2))</f>
        <v/>
      </c>
      <c r="G183" s="15" t="str">
        <f aca="false">IF(E183="","",E183+F183)</f>
        <v/>
      </c>
      <c r="H183" s="5"/>
      <c r="I183" s="5"/>
      <c r="J183" s="13"/>
      <c r="K183" s="5"/>
    </row>
    <row r="184" customFormat="false" ht="15" hidden="false" customHeight="false" outlineLevel="0" collapsed="false">
      <c r="A184" s="5"/>
      <c r="B184" s="13"/>
      <c r="C184" s="5"/>
      <c r="D184" s="5"/>
      <c r="E184" s="15"/>
      <c r="F184" s="15" t="str">
        <f aca="false">IF(E184="","",ROUND(E184*$N$1,2))</f>
        <v/>
      </c>
      <c r="G184" s="15" t="str">
        <f aca="false">IF(E184="","",E184+F184)</f>
        <v/>
      </c>
      <c r="H184" s="5"/>
      <c r="I184" s="5"/>
      <c r="J184" s="13"/>
      <c r="K184" s="5"/>
    </row>
    <row r="185" customFormat="false" ht="15" hidden="false" customHeight="false" outlineLevel="0" collapsed="false">
      <c r="A185" s="5"/>
      <c r="B185" s="13"/>
      <c r="C185" s="5"/>
      <c r="D185" s="5"/>
      <c r="E185" s="15"/>
      <c r="F185" s="15" t="str">
        <f aca="false">IF(E185="","",ROUND(E185*$N$1,2))</f>
        <v/>
      </c>
      <c r="G185" s="15" t="str">
        <f aca="false">IF(E185="","",E185+F185)</f>
        <v/>
      </c>
      <c r="H185" s="5"/>
      <c r="I185" s="5"/>
      <c r="J185" s="13"/>
      <c r="K185" s="5"/>
    </row>
    <row r="186" customFormat="false" ht="15" hidden="false" customHeight="false" outlineLevel="0" collapsed="false">
      <c r="A186" s="5"/>
      <c r="B186" s="13"/>
      <c r="C186" s="5"/>
      <c r="D186" s="5"/>
      <c r="E186" s="15"/>
      <c r="F186" s="15" t="str">
        <f aca="false">IF(E186="","",ROUND(E186*$N$1,2))</f>
        <v/>
      </c>
      <c r="G186" s="15" t="str">
        <f aca="false">IF(E186="","",E186+F186)</f>
        <v/>
      </c>
      <c r="H186" s="5"/>
      <c r="I186" s="5"/>
      <c r="J186" s="13"/>
      <c r="K186" s="5"/>
    </row>
    <row r="187" customFormat="false" ht="15" hidden="false" customHeight="false" outlineLevel="0" collapsed="false">
      <c r="A187" s="5"/>
      <c r="B187" s="13"/>
      <c r="C187" s="5"/>
      <c r="D187" s="5"/>
      <c r="E187" s="15"/>
      <c r="F187" s="15" t="str">
        <f aca="false">IF(E187="","",ROUND(E187*$N$1,2))</f>
        <v/>
      </c>
      <c r="G187" s="15" t="str">
        <f aca="false">IF(E187="","",E187+F187)</f>
        <v/>
      </c>
      <c r="H187" s="5"/>
      <c r="I187" s="5"/>
      <c r="J187" s="13"/>
      <c r="K187" s="5"/>
    </row>
    <row r="188" customFormat="false" ht="15" hidden="false" customHeight="false" outlineLevel="0" collapsed="false">
      <c r="A188" s="5"/>
      <c r="B188" s="13"/>
      <c r="C188" s="5"/>
      <c r="D188" s="5"/>
      <c r="E188" s="15"/>
      <c r="F188" s="15" t="str">
        <f aca="false">IF(E188="","",ROUND(E188*$N$1,2))</f>
        <v/>
      </c>
      <c r="G188" s="15" t="str">
        <f aca="false">IF(E188="","",E188+F188)</f>
        <v/>
      </c>
      <c r="H188" s="5"/>
      <c r="I188" s="5"/>
      <c r="J188" s="13"/>
      <c r="K188" s="5"/>
    </row>
    <row r="189" customFormat="false" ht="15" hidden="false" customHeight="false" outlineLevel="0" collapsed="false">
      <c r="A189" s="5"/>
      <c r="B189" s="13"/>
      <c r="C189" s="5"/>
      <c r="D189" s="5"/>
      <c r="E189" s="15"/>
      <c r="F189" s="15" t="str">
        <f aca="false">IF(E189="","",ROUND(E189*$N$1,2))</f>
        <v/>
      </c>
      <c r="G189" s="15" t="str">
        <f aca="false">IF(E189="","",E189+F189)</f>
        <v/>
      </c>
      <c r="H189" s="5"/>
      <c r="I189" s="5"/>
      <c r="J189" s="13"/>
      <c r="K189" s="5"/>
    </row>
    <row r="190" customFormat="false" ht="15" hidden="false" customHeight="false" outlineLevel="0" collapsed="false">
      <c r="A190" s="5"/>
      <c r="B190" s="13"/>
      <c r="C190" s="5"/>
      <c r="D190" s="5"/>
      <c r="E190" s="15"/>
      <c r="F190" s="15" t="str">
        <f aca="false">IF(E190="","",ROUND(E190*$N$1,2))</f>
        <v/>
      </c>
      <c r="G190" s="15" t="str">
        <f aca="false">IF(E190="","",E190+F190)</f>
        <v/>
      </c>
      <c r="H190" s="5"/>
      <c r="I190" s="5"/>
      <c r="J190" s="13"/>
      <c r="K190" s="5"/>
    </row>
    <row r="191" customFormat="false" ht="15" hidden="false" customHeight="false" outlineLevel="0" collapsed="false">
      <c r="A191" s="5"/>
      <c r="B191" s="13"/>
      <c r="C191" s="5"/>
      <c r="D191" s="5"/>
      <c r="E191" s="15"/>
      <c r="F191" s="15" t="str">
        <f aca="false">IF(E191="","",ROUND(E191*$N$1,2))</f>
        <v/>
      </c>
      <c r="G191" s="15" t="str">
        <f aca="false">IF(E191="","",E191+F191)</f>
        <v/>
      </c>
      <c r="H191" s="5"/>
      <c r="I191" s="5"/>
      <c r="J191" s="13"/>
      <c r="K191" s="5"/>
    </row>
    <row r="192" customFormat="false" ht="15" hidden="false" customHeight="false" outlineLevel="0" collapsed="false">
      <c r="A192" s="5"/>
      <c r="B192" s="13"/>
      <c r="C192" s="5"/>
      <c r="D192" s="5"/>
      <c r="E192" s="15"/>
      <c r="F192" s="15" t="str">
        <f aca="false">IF(E192="","",ROUND(E192*$N$1,2))</f>
        <v/>
      </c>
      <c r="G192" s="15" t="str">
        <f aca="false">IF(E192="","",E192+F192)</f>
        <v/>
      </c>
      <c r="H192" s="5"/>
      <c r="I192" s="5"/>
      <c r="J192" s="13"/>
      <c r="K192" s="5"/>
    </row>
    <row r="193" customFormat="false" ht="15" hidden="false" customHeight="false" outlineLevel="0" collapsed="false">
      <c r="A193" s="5"/>
      <c r="B193" s="13"/>
      <c r="C193" s="5"/>
      <c r="D193" s="5"/>
      <c r="E193" s="15"/>
      <c r="F193" s="15" t="str">
        <f aca="false">IF(E193="","",ROUND(E193*$N$1,2))</f>
        <v/>
      </c>
      <c r="G193" s="15" t="str">
        <f aca="false">IF(E193="","",E193+F193)</f>
        <v/>
      </c>
      <c r="H193" s="5"/>
      <c r="I193" s="5"/>
      <c r="J193" s="13"/>
      <c r="K193" s="5"/>
    </row>
    <row r="194" customFormat="false" ht="15" hidden="false" customHeight="false" outlineLevel="0" collapsed="false">
      <c r="A194" s="5"/>
      <c r="B194" s="13"/>
      <c r="C194" s="5"/>
      <c r="D194" s="5"/>
      <c r="E194" s="15"/>
      <c r="F194" s="15" t="str">
        <f aca="false">IF(E194="","",ROUND(E194*$N$1,2))</f>
        <v/>
      </c>
      <c r="G194" s="15" t="str">
        <f aca="false">IF(E194="","",E194+F194)</f>
        <v/>
      </c>
      <c r="H194" s="5"/>
      <c r="I194" s="5"/>
      <c r="J194" s="13"/>
      <c r="K194" s="5"/>
    </row>
    <row r="195" customFormat="false" ht="15" hidden="false" customHeight="false" outlineLevel="0" collapsed="false">
      <c r="A195" s="5"/>
      <c r="B195" s="13"/>
      <c r="C195" s="5"/>
      <c r="D195" s="5"/>
      <c r="E195" s="15"/>
      <c r="F195" s="15" t="str">
        <f aca="false">IF(E195="","",ROUND(E195*$N$1,2))</f>
        <v/>
      </c>
      <c r="G195" s="15" t="str">
        <f aca="false">IF(E195="","",E195+F195)</f>
        <v/>
      </c>
      <c r="H195" s="5"/>
      <c r="I195" s="5"/>
      <c r="J195" s="13"/>
      <c r="K195" s="5"/>
    </row>
    <row r="196" customFormat="false" ht="15" hidden="false" customHeight="false" outlineLevel="0" collapsed="false">
      <c r="A196" s="5"/>
      <c r="B196" s="13"/>
      <c r="C196" s="5"/>
      <c r="D196" s="5"/>
      <c r="E196" s="15"/>
      <c r="F196" s="15" t="str">
        <f aca="false">IF(E196="","",ROUND(E196*$N$1,2))</f>
        <v/>
      </c>
      <c r="G196" s="15" t="str">
        <f aca="false">IF(E196="","",E196+F196)</f>
        <v/>
      </c>
      <c r="H196" s="5"/>
      <c r="I196" s="5"/>
      <c r="J196" s="13"/>
      <c r="K196" s="5"/>
    </row>
    <row r="197" customFormat="false" ht="15" hidden="false" customHeight="false" outlineLevel="0" collapsed="false">
      <c r="A197" s="5"/>
      <c r="B197" s="13"/>
      <c r="C197" s="5"/>
      <c r="D197" s="5"/>
      <c r="E197" s="15"/>
      <c r="F197" s="15" t="str">
        <f aca="false">IF(E197="","",ROUND(E197*$N$1,2))</f>
        <v/>
      </c>
      <c r="G197" s="15" t="str">
        <f aca="false">IF(E197="","",E197+F197)</f>
        <v/>
      </c>
      <c r="H197" s="5"/>
      <c r="I197" s="5"/>
      <c r="J197" s="13"/>
      <c r="K197" s="5"/>
    </row>
    <row r="198" customFormat="false" ht="15" hidden="false" customHeight="false" outlineLevel="0" collapsed="false">
      <c r="A198" s="5"/>
      <c r="B198" s="13"/>
      <c r="C198" s="5"/>
      <c r="D198" s="5"/>
      <c r="E198" s="15"/>
      <c r="F198" s="15" t="str">
        <f aca="false">IF(E198="","",ROUND(E198*$N$1,2))</f>
        <v/>
      </c>
      <c r="G198" s="15" t="str">
        <f aca="false">IF(E198="","",E198+F198)</f>
        <v/>
      </c>
      <c r="H198" s="5"/>
      <c r="I198" s="5"/>
      <c r="J198" s="13"/>
      <c r="K198" s="5"/>
    </row>
    <row r="199" customFormat="false" ht="15" hidden="false" customHeight="false" outlineLevel="0" collapsed="false">
      <c r="A199" s="5"/>
      <c r="B199" s="13"/>
      <c r="C199" s="5"/>
      <c r="D199" s="5"/>
      <c r="E199" s="15"/>
      <c r="F199" s="15" t="str">
        <f aca="false">IF(E199="","",ROUND(E199*$N$1,2))</f>
        <v/>
      </c>
      <c r="G199" s="15" t="str">
        <f aca="false">IF(E199="","",E199+F199)</f>
        <v/>
      </c>
      <c r="H199" s="5"/>
      <c r="I199" s="5"/>
      <c r="J199" s="13"/>
      <c r="K199" s="5"/>
    </row>
    <row r="200" customFormat="false" ht="15" hidden="false" customHeight="false" outlineLevel="0" collapsed="false">
      <c r="A200" s="5"/>
      <c r="B200" s="13"/>
      <c r="C200" s="5"/>
      <c r="D200" s="5"/>
      <c r="E200" s="15"/>
      <c r="F200" s="15" t="str">
        <f aca="false">IF(E200="","",ROUND(E200*$N$1,2))</f>
        <v/>
      </c>
      <c r="G200" s="15" t="str">
        <f aca="false">IF(E200="","",E200+F200)</f>
        <v/>
      </c>
      <c r="H200" s="5"/>
      <c r="I200" s="5"/>
      <c r="J200" s="13"/>
      <c r="K200" s="5"/>
    </row>
    <row r="201" customFormat="false" ht="15" hidden="false" customHeight="false" outlineLevel="0" collapsed="false">
      <c r="A201" s="5"/>
      <c r="B201" s="13"/>
      <c r="C201" s="5"/>
      <c r="D201" s="5"/>
      <c r="E201" s="15"/>
      <c r="F201" s="15" t="str">
        <f aca="false">IF(E201="","",ROUND(E201*$N$1,2))</f>
        <v/>
      </c>
      <c r="G201" s="15" t="str">
        <f aca="false">IF(E201="","",E201+F201)</f>
        <v/>
      </c>
      <c r="H201" s="5"/>
      <c r="I201" s="5"/>
      <c r="J201" s="13"/>
      <c r="K201" s="5"/>
    </row>
    <row r="202" customFormat="false" ht="15" hidden="false" customHeight="false" outlineLevel="0" collapsed="false">
      <c r="A202" s="5"/>
      <c r="B202" s="13"/>
      <c r="C202" s="5"/>
      <c r="D202" s="5"/>
      <c r="E202" s="15"/>
      <c r="F202" s="15" t="str">
        <f aca="false">IF(E202="","",ROUND(E202*$N$1,2))</f>
        <v/>
      </c>
      <c r="G202" s="15" t="str">
        <f aca="false">IF(E202="","",E202+F202)</f>
        <v/>
      </c>
      <c r="H202" s="5"/>
      <c r="I202" s="5"/>
      <c r="J202" s="13"/>
      <c r="K202" s="5"/>
    </row>
    <row r="203" customFormat="false" ht="15" hidden="false" customHeight="false" outlineLevel="0" collapsed="false">
      <c r="A203" s="5"/>
      <c r="B203" s="13"/>
      <c r="C203" s="5"/>
      <c r="D203" s="5"/>
      <c r="E203" s="15"/>
      <c r="F203" s="15" t="str">
        <f aca="false">IF(E203="","",ROUND(E203*$N$1,2))</f>
        <v/>
      </c>
      <c r="G203" s="15" t="str">
        <f aca="false">IF(E203="","",E203+F203)</f>
        <v/>
      </c>
      <c r="H203" s="5"/>
      <c r="I203" s="5"/>
      <c r="J203" s="13"/>
      <c r="K203" s="5"/>
    </row>
    <row r="204" customFormat="false" ht="15" hidden="false" customHeight="false" outlineLevel="0" collapsed="false">
      <c r="A204" s="5"/>
      <c r="B204" s="13"/>
      <c r="C204" s="5"/>
      <c r="D204" s="5"/>
      <c r="E204" s="15"/>
      <c r="F204" s="15" t="str">
        <f aca="false">IF(E204="","",ROUND(E204*$N$1,2))</f>
        <v/>
      </c>
      <c r="G204" s="15" t="str">
        <f aca="false">IF(E204="","",E204+F204)</f>
        <v/>
      </c>
      <c r="H204" s="5"/>
      <c r="I204" s="5"/>
      <c r="J204" s="13"/>
      <c r="K204" s="5"/>
    </row>
    <row r="205" customFormat="false" ht="15" hidden="false" customHeight="false" outlineLevel="0" collapsed="false">
      <c r="A205" s="5"/>
      <c r="B205" s="13"/>
      <c r="C205" s="5"/>
      <c r="D205" s="5"/>
      <c r="E205" s="15"/>
      <c r="F205" s="15" t="str">
        <f aca="false">IF(E205="","",ROUND(E205*$N$1,2))</f>
        <v/>
      </c>
      <c r="G205" s="15" t="str">
        <f aca="false">IF(E205="","",E205+F205)</f>
        <v/>
      </c>
      <c r="H205" s="5"/>
      <c r="I205" s="5"/>
      <c r="J205" s="13"/>
      <c r="K205" s="5"/>
    </row>
    <row r="206" customFormat="false" ht="15" hidden="false" customHeight="false" outlineLevel="0" collapsed="false">
      <c r="A206" s="5"/>
      <c r="B206" s="13"/>
      <c r="C206" s="5"/>
      <c r="D206" s="5"/>
      <c r="E206" s="15"/>
      <c r="F206" s="15" t="str">
        <f aca="false">IF(E206="","",ROUND(E206*$N$1,2))</f>
        <v/>
      </c>
      <c r="G206" s="15" t="str">
        <f aca="false">IF(E206="","",E206+F206)</f>
        <v/>
      </c>
      <c r="H206" s="5"/>
      <c r="I206" s="5"/>
      <c r="J206" s="13"/>
      <c r="K206" s="5"/>
    </row>
    <row r="207" customFormat="false" ht="15" hidden="false" customHeight="false" outlineLevel="0" collapsed="false">
      <c r="A207" s="5"/>
      <c r="B207" s="13"/>
      <c r="C207" s="5"/>
      <c r="D207" s="5"/>
      <c r="E207" s="15"/>
      <c r="F207" s="15" t="str">
        <f aca="false">IF(E207="","",ROUND(E207*$N$1,2))</f>
        <v/>
      </c>
      <c r="G207" s="15" t="str">
        <f aca="false">IF(E207="","",E207+F207)</f>
        <v/>
      </c>
      <c r="H207" s="5"/>
      <c r="I207" s="5"/>
      <c r="J207" s="13"/>
      <c r="K207" s="5"/>
    </row>
    <row r="208" customFormat="false" ht="15" hidden="false" customHeight="false" outlineLevel="0" collapsed="false">
      <c r="A208" s="5"/>
      <c r="B208" s="13"/>
      <c r="C208" s="5"/>
      <c r="D208" s="5"/>
      <c r="E208" s="15"/>
      <c r="F208" s="15" t="str">
        <f aca="false">IF(E208="","",ROUND(E208*$N$1,2))</f>
        <v/>
      </c>
      <c r="G208" s="15" t="str">
        <f aca="false">IF(E208="","",E208+F208)</f>
        <v/>
      </c>
      <c r="H208" s="5"/>
      <c r="I208" s="5"/>
      <c r="J208" s="13"/>
      <c r="K208" s="5"/>
    </row>
    <row r="209" customFormat="false" ht="15" hidden="false" customHeight="false" outlineLevel="0" collapsed="false">
      <c r="A209" s="5"/>
      <c r="B209" s="13"/>
      <c r="C209" s="5"/>
      <c r="D209" s="5"/>
      <c r="E209" s="15"/>
      <c r="F209" s="15" t="str">
        <f aca="false">IF(E209="","",ROUND(E209*$N$1,2))</f>
        <v/>
      </c>
      <c r="G209" s="15" t="str">
        <f aca="false">IF(E209="","",E209+F209)</f>
        <v/>
      </c>
      <c r="H209" s="5"/>
      <c r="I209" s="5"/>
      <c r="J209" s="13"/>
      <c r="K209" s="5"/>
    </row>
    <row r="210" customFormat="false" ht="15" hidden="false" customHeight="false" outlineLevel="0" collapsed="false">
      <c r="A210" s="5"/>
      <c r="B210" s="13"/>
      <c r="C210" s="5"/>
      <c r="D210" s="5"/>
      <c r="E210" s="15"/>
      <c r="F210" s="15" t="str">
        <f aca="false">IF(E210="","",ROUND(E210*$N$1,2))</f>
        <v/>
      </c>
      <c r="G210" s="15" t="str">
        <f aca="false">IF(E210="","",E210+F210)</f>
        <v/>
      </c>
      <c r="H210" s="5"/>
      <c r="I210" s="5"/>
      <c r="J210" s="13"/>
      <c r="K210" s="5"/>
    </row>
    <row r="211" customFormat="false" ht="15" hidden="false" customHeight="false" outlineLevel="0" collapsed="false">
      <c r="A211" s="5"/>
      <c r="B211" s="13"/>
      <c r="C211" s="5"/>
      <c r="D211" s="5"/>
      <c r="E211" s="15"/>
      <c r="F211" s="15" t="str">
        <f aca="false">IF(E211="","",ROUND(E211*$N$1,2))</f>
        <v/>
      </c>
      <c r="G211" s="15" t="str">
        <f aca="false">IF(E211="","",E211+F211)</f>
        <v/>
      </c>
      <c r="H211" s="5"/>
      <c r="I211" s="5"/>
      <c r="J211" s="13"/>
      <c r="K211" s="5"/>
    </row>
    <row r="212" customFormat="false" ht="15" hidden="false" customHeight="false" outlineLevel="0" collapsed="false">
      <c r="A212" s="5"/>
      <c r="B212" s="13"/>
      <c r="C212" s="5"/>
      <c r="D212" s="5"/>
      <c r="E212" s="15"/>
      <c r="F212" s="15" t="str">
        <f aca="false">IF(E212="","",ROUND(E212*$N$1,2))</f>
        <v/>
      </c>
      <c r="G212" s="15" t="str">
        <f aca="false">IF(E212="","",E212+F212)</f>
        <v/>
      </c>
      <c r="H212" s="5"/>
      <c r="I212" s="5"/>
      <c r="J212" s="13"/>
      <c r="K212" s="5"/>
    </row>
    <row r="213" customFormat="false" ht="15" hidden="false" customHeight="false" outlineLevel="0" collapsed="false">
      <c r="A213" s="5"/>
      <c r="B213" s="13"/>
      <c r="C213" s="5"/>
      <c r="D213" s="5"/>
      <c r="E213" s="15"/>
      <c r="F213" s="15" t="str">
        <f aca="false">IF(E213="","",ROUND(E213*$N$1,2))</f>
        <v/>
      </c>
      <c r="G213" s="15" t="str">
        <f aca="false">IF(E213="","",E213+F213)</f>
        <v/>
      </c>
      <c r="H213" s="5"/>
      <c r="I213" s="5"/>
      <c r="J213" s="13"/>
      <c r="K213" s="5"/>
    </row>
    <row r="214" customFormat="false" ht="15" hidden="false" customHeight="false" outlineLevel="0" collapsed="false">
      <c r="A214" s="5"/>
      <c r="B214" s="13"/>
      <c r="C214" s="5"/>
      <c r="D214" s="5"/>
      <c r="E214" s="15"/>
      <c r="F214" s="15" t="str">
        <f aca="false">IF(E214="","",ROUND(E214*$N$1,2))</f>
        <v/>
      </c>
      <c r="G214" s="15" t="str">
        <f aca="false">IF(E214="","",E214+F214)</f>
        <v/>
      </c>
      <c r="H214" s="5"/>
      <c r="I214" s="5"/>
      <c r="J214" s="13"/>
      <c r="K214" s="5"/>
    </row>
    <row r="215" customFormat="false" ht="15" hidden="false" customHeight="false" outlineLevel="0" collapsed="false">
      <c r="A215" s="5"/>
      <c r="B215" s="13"/>
      <c r="C215" s="5"/>
      <c r="D215" s="5"/>
      <c r="E215" s="15"/>
      <c r="F215" s="15" t="str">
        <f aca="false">IF(E215="","",ROUND(E215*$N$1,2))</f>
        <v/>
      </c>
      <c r="G215" s="15" t="str">
        <f aca="false">IF(E215="","",E215+F215)</f>
        <v/>
      </c>
      <c r="H215" s="5"/>
      <c r="I215" s="5"/>
      <c r="J215" s="13"/>
      <c r="K215" s="5"/>
    </row>
    <row r="216" customFormat="false" ht="15" hidden="false" customHeight="false" outlineLevel="0" collapsed="false">
      <c r="A216" s="5"/>
      <c r="B216" s="13"/>
      <c r="C216" s="5"/>
      <c r="D216" s="5"/>
      <c r="E216" s="15"/>
      <c r="F216" s="15" t="str">
        <f aca="false">IF(E216="","",ROUND(E216*$N$1,2))</f>
        <v/>
      </c>
      <c r="G216" s="15" t="str">
        <f aca="false">IF(E216="","",E216+F216)</f>
        <v/>
      </c>
      <c r="H216" s="5"/>
      <c r="I216" s="5"/>
      <c r="J216" s="13"/>
      <c r="K216" s="5"/>
    </row>
    <row r="217" customFormat="false" ht="15" hidden="false" customHeight="false" outlineLevel="0" collapsed="false">
      <c r="A217" s="5"/>
      <c r="B217" s="13"/>
      <c r="C217" s="5"/>
      <c r="D217" s="5"/>
      <c r="E217" s="15"/>
      <c r="F217" s="15" t="str">
        <f aca="false">IF(E217="","",ROUND(E217*$N$1,2))</f>
        <v/>
      </c>
      <c r="G217" s="15" t="str">
        <f aca="false">IF(E217="","",E217+F217)</f>
        <v/>
      </c>
      <c r="H217" s="5"/>
      <c r="I217" s="5"/>
      <c r="J217" s="13"/>
      <c r="K217" s="5"/>
    </row>
    <row r="218" customFormat="false" ht="15" hidden="false" customHeight="false" outlineLevel="0" collapsed="false">
      <c r="A218" s="5"/>
      <c r="B218" s="13"/>
      <c r="C218" s="5"/>
      <c r="D218" s="5"/>
      <c r="E218" s="15"/>
      <c r="F218" s="15" t="str">
        <f aca="false">IF(E218="","",ROUND(E218*$N$1,2))</f>
        <v/>
      </c>
      <c r="G218" s="15" t="str">
        <f aca="false">IF(E218="","",E218+F218)</f>
        <v/>
      </c>
      <c r="H218" s="5"/>
      <c r="I218" s="5"/>
      <c r="J218" s="13"/>
      <c r="K218" s="5"/>
    </row>
    <row r="219" customFormat="false" ht="15" hidden="false" customHeight="false" outlineLevel="0" collapsed="false">
      <c r="A219" s="5"/>
      <c r="B219" s="13"/>
      <c r="C219" s="5"/>
      <c r="D219" s="5"/>
      <c r="E219" s="15"/>
      <c r="F219" s="15" t="str">
        <f aca="false">IF(E219="","",ROUND(E219*$N$1,2))</f>
        <v/>
      </c>
      <c r="G219" s="15" t="str">
        <f aca="false">IF(E219="","",E219+F219)</f>
        <v/>
      </c>
      <c r="H219" s="5"/>
      <c r="I219" s="5"/>
      <c r="J219" s="13"/>
      <c r="K219" s="5"/>
    </row>
    <row r="220" customFormat="false" ht="15" hidden="false" customHeight="false" outlineLevel="0" collapsed="false">
      <c r="A220" s="5"/>
      <c r="B220" s="13"/>
      <c r="C220" s="5"/>
      <c r="D220" s="5"/>
      <c r="E220" s="15"/>
      <c r="F220" s="15" t="str">
        <f aca="false">IF(E220="","",ROUND(E220*$N$1,2))</f>
        <v/>
      </c>
      <c r="G220" s="15" t="str">
        <f aca="false">IF(E220="","",E220+F220)</f>
        <v/>
      </c>
      <c r="H220" s="5"/>
      <c r="I220" s="5"/>
      <c r="J220" s="13"/>
      <c r="K220" s="5"/>
    </row>
    <row r="221" customFormat="false" ht="15" hidden="false" customHeight="false" outlineLevel="0" collapsed="false">
      <c r="A221" s="5"/>
      <c r="B221" s="13"/>
      <c r="C221" s="5"/>
      <c r="D221" s="5"/>
      <c r="E221" s="15"/>
      <c r="F221" s="15" t="str">
        <f aca="false">IF(E221="","",ROUND(E221*$N$1,2))</f>
        <v/>
      </c>
      <c r="G221" s="15" t="str">
        <f aca="false">IF(E221="","",E221+F221)</f>
        <v/>
      </c>
      <c r="H221" s="5"/>
      <c r="I221" s="5"/>
      <c r="J221" s="13"/>
      <c r="K221" s="5"/>
    </row>
    <row r="222" customFormat="false" ht="15" hidden="false" customHeight="false" outlineLevel="0" collapsed="false">
      <c r="A222" s="5"/>
      <c r="B222" s="13"/>
      <c r="C222" s="5"/>
      <c r="D222" s="5"/>
      <c r="E222" s="15"/>
      <c r="F222" s="15" t="str">
        <f aca="false">IF(E222="","",ROUND(E222*$N$1,2))</f>
        <v/>
      </c>
      <c r="G222" s="15" t="str">
        <f aca="false">IF(E222="","",E222+F222)</f>
        <v/>
      </c>
      <c r="H222" s="5"/>
      <c r="I222" s="5"/>
      <c r="J222" s="13"/>
      <c r="K222" s="5"/>
    </row>
    <row r="223" customFormat="false" ht="15" hidden="false" customHeight="false" outlineLevel="0" collapsed="false">
      <c r="A223" s="5"/>
      <c r="B223" s="13"/>
      <c r="C223" s="5"/>
      <c r="D223" s="5"/>
      <c r="E223" s="15"/>
      <c r="F223" s="15" t="str">
        <f aca="false">IF(E223="","",ROUND(E223*$N$1,2))</f>
        <v/>
      </c>
      <c r="G223" s="15" t="str">
        <f aca="false">IF(E223="","",E223+F223)</f>
        <v/>
      </c>
      <c r="H223" s="5"/>
      <c r="I223" s="5"/>
      <c r="J223" s="13"/>
      <c r="K223" s="5"/>
    </row>
    <row r="224" customFormat="false" ht="15" hidden="false" customHeight="false" outlineLevel="0" collapsed="false">
      <c r="A224" s="5"/>
      <c r="B224" s="13"/>
      <c r="C224" s="5"/>
      <c r="D224" s="5"/>
      <c r="E224" s="15"/>
      <c r="F224" s="15" t="str">
        <f aca="false">IF(E224="","",ROUND(E224*$N$1,2))</f>
        <v/>
      </c>
      <c r="G224" s="15" t="str">
        <f aca="false">IF(E224="","",E224+F224)</f>
        <v/>
      </c>
      <c r="H224" s="5"/>
      <c r="I224" s="5"/>
      <c r="J224" s="13"/>
      <c r="K224" s="5"/>
    </row>
    <row r="225" customFormat="false" ht="15" hidden="false" customHeight="false" outlineLevel="0" collapsed="false">
      <c r="A225" s="5"/>
      <c r="B225" s="13"/>
      <c r="C225" s="5"/>
      <c r="D225" s="5"/>
      <c r="E225" s="15"/>
      <c r="F225" s="15" t="str">
        <f aca="false">IF(E225="","",ROUND(E225*$N$1,2))</f>
        <v/>
      </c>
      <c r="G225" s="15" t="str">
        <f aca="false">IF(E225="","",E225+F225)</f>
        <v/>
      </c>
      <c r="H225" s="5"/>
      <c r="I225" s="5"/>
      <c r="J225" s="13"/>
      <c r="K225" s="5"/>
    </row>
    <row r="226" customFormat="false" ht="15" hidden="false" customHeight="false" outlineLevel="0" collapsed="false">
      <c r="A226" s="5"/>
      <c r="B226" s="13"/>
      <c r="C226" s="5"/>
      <c r="D226" s="5"/>
      <c r="E226" s="15"/>
      <c r="F226" s="15" t="str">
        <f aca="false">IF(E226="","",ROUND(E226*$N$1,2))</f>
        <v/>
      </c>
      <c r="G226" s="15" t="str">
        <f aca="false">IF(E226="","",E226+F226)</f>
        <v/>
      </c>
      <c r="H226" s="5"/>
      <c r="I226" s="5"/>
      <c r="J226" s="13"/>
      <c r="K226" s="5"/>
    </row>
    <row r="227" customFormat="false" ht="15" hidden="false" customHeight="false" outlineLevel="0" collapsed="false">
      <c r="A227" s="5"/>
      <c r="B227" s="13"/>
      <c r="C227" s="5"/>
      <c r="D227" s="5"/>
      <c r="E227" s="15"/>
      <c r="F227" s="15" t="str">
        <f aca="false">IF(E227="","",ROUND(E227*$N$1,2))</f>
        <v/>
      </c>
      <c r="G227" s="15" t="str">
        <f aca="false">IF(E227="","",E227+F227)</f>
        <v/>
      </c>
      <c r="H227" s="5"/>
      <c r="I227" s="5"/>
      <c r="J227" s="13"/>
      <c r="K227" s="5"/>
    </row>
    <row r="228" customFormat="false" ht="15" hidden="false" customHeight="false" outlineLevel="0" collapsed="false">
      <c r="A228" s="5"/>
      <c r="B228" s="13"/>
      <c r="C228" s="5"/>
      <c r="D228" s="5"/>
      <c r="E228" s="15"/>
      <c r="F228" s="15" t="str">
        <f aca="false">IF(E228="","",ROUND(E228*$N$1,2))</f>
        <v/>
      </c>
      <c r="G228" s="15" t="str">
        <f aca="false">IF(E228="","",E228+F228)</f>
        <v/>
      </c>
      <c r="H228" s="5"/>
      <c r="I228" s="5"/>
      <c r="J228" s="13"/>
      <c r="K228" s="5"/>
    </row>
    <row r="229" customFormat="false" ht="15" hidden="false" customHeight="false" outlineLevel="0" collapsed="false">
      <c r="A229" s="5"/>
      <c r="B229" s="13"/>
      <c r="C229" s="5"/>
      <c r="D229" s="5"/>
      <c r="E229" s="15"/>
      <c r="F229" s="15" t="str">
        <f aca="false">IF(E229="","",ROUND(E229*$N$1,2))</f>
        <v/>
      </c>
      <c r="G229" s="15" t="str">
        <f aca="false">IF(E229="","",E229+F229)</f>
        <v/>
      </c>
      <c r="H229" s="5"/>
      <c r="I229" s="5"/>
      <c r="J229" s="13"/>
      <c r="K229" s="5"/>
    </row>
    <row r="230" customFormat="false" ht="15" hidden="false" customHeight="false" outlineLevel="0" collapsed="false">
      <c r="A230" s="5"/>
      <c r="B230" s="13"/>
      <c r="C230" s="5"/>
      <c r="D230" s="5"/>
      <c r="E230" s="15"/>
      <c r="F230" s="15" t="str">
        <f aca="false">IF(E230="","",ROUND(E230*$N$1,2))</f>
        <v/>
      </c>
      <c r="G230" s="15" t="str">
        <f aca="false">IF(E230="","",E230+F230)</f>
        <v/>
      </c>
      <c r="H230" s="5"/>
      <c r="I230" s="5"/>
      <c r="J230" s="13"/>
      <c r="K230" s="5"/>
    </row>
    <row r="231" customFormat="false" ht="15" hidden="false" customHeight="false" outlineLevel="0" collapsed="false">
      <c r="A231" s="5"/>
      <c r="B231" s="13"/>
      <c r="C231" s="5"/>
      <c r="D231" s="5"/>
      <c r="E231" s="15"/>
      <c r="F231" s="15" t="str">
        <f aca="false">IF(E231="","",ROUND(E231*$N$1,2))</f>
        <v/>
      </c>
      <c r="G231" s="15" t="str">
        <f aca="false">IF(E231="","",E231+F231)</f>
        <v/>
      </c>
      <c r="H231" s="5"/>
      <c r="I231" s="5"/>
      <c r="J231" s="13"/>
      <c r="K231" s="5"/>
    </row>
    <row r="232" customFormat="false" ht="15" hidden="false" customHeight="false" outlineLevel="0" collapsed="false">
      <c r="A232" s="5"/>
      <c r="B232" s="13"/>
      <c r="C232" s="5"/>
      <c r="D232" s="5"/>
      <c r="E232" s="15"/>
      <c r="F232" s="15" t="str">
        <f aca="false">IF(E232="","",ROUND(E232*$N$1,2))</f>
        <v/>
      </c>
      <c r="G232" s="15" t="str">
        <f aca="false">IF(E232="","",E232+F232)</f>
        <v/>
      </c>
      <c r="H232" s="5"/>
      <c r="I232" s="5"/>
      <c r="J232" s="13"/>
      <c r="K232" s="5"/>
    </row>
    <row r="233" customFormat="false" ht="15" hidden="false" customHeight="false" outlineLevel="0" collapsed="false">
      <c r="A233" s="5"/>
      <c r="B233" s="13"/>
      <c r="C233" s="5"/>
      <c r="D233" s="5"/>
      <c r="E233" s="15"/>
      <c r="F233" s="15" t="str">
        <f aca="false">IF(E233="","",ROUND(E233*$N$1,2))</f>
        <v/>
      </c>
      <c r="G233" s="15" t="str">
        <f aca="false">IF(E233="","",E233+F233)</f>
        <v/>
      </c>
      <c r="H233" s="5"/>
      <c r="I233" s="5"/>
      <c r="J233" s="13"/>
      <c r="K233" s="5"/>
    </row>
    <row r="234" customFormat="false" ht="15" hidden="false" customHeight="false" outlineLevel="0" collapsed="false">
      <c r="A234" s="5"/>
      <c r="B234" s="13"/>
      <c r="C234" s="5"/>
      <c r="D234" s="5"/>
      <c r="E234" s="15"/>
      <c r="F234" s="15" t="str">
        <f aca="false">IF(E234="","",ROUND(E234*$N$1,2))</f>
        <v/>
      </c>
      <c r="G234" s="15" t="str">
        <f aca="false">IF(E234="","",E234+F234)</f>
        <v/>
      </c>
      <c r="H234" s="5"/>
      <c r="I234" s="5"/>
      <c r="J234" s="13"/>
      <c r="K234" s="5"/>
    </row>
    <row r="235" customFormat="false" ht="15" hidden="false" customHeight="false" outlineLevel="0" collapsed="false">
      <c r="A235" s="5"/>
      <c r="B235" s="13"/>
      <c r="C235" s="5"/>
      <c r="D235" s="5"/>
      <c r="E235" s="15"/>
      <c r="F235" s="15" t="str">
        <f aca="false">IF(E235="","",ROUND(E235*$N$1,2))</f>
        <v/>
      </c>
      <c r="G235" s="15" t="str">
        <f aca="false">IF(E235="","",E235+F235)</f>
        <v/>
      </c>
      <c r="H235" s="5"/>
      <c r="I235" s="5"/>
      <c r="J235" s="13"/>
      <c r="K235" s="5"/>
    </row>
    <row r="236" customFormat="false" ht="15" hidden="false" customHeight="false" outlineLevel="0" collapsed="false">
      <c r="A236" s="5"/>
      <c r="B236" s="13"/>
      <c r="C236" s="5"/>
      <c r="D236" s="5"/>
      <c r="E236" s="15"/>
      <c r="F236" s="15" t="str">
        <f aca="false">IF(E236="","",ROUND(E236*$N$1,2))</f>
        <v/>
      </c>
      <c r="G236" s="15" t="str">
        <f aca="false">IF(E236="","",E236+F236)</f>
        <v/>
      </c>
      <c r="H236" s="5"/>
      <c r="I236" s="5"/>
      <c r="J236" s="13"/>
      <c r="K236" s="5"/>
    </row>
    <row r="237" customFormat="false" ht="15" hidden="false" customHeight="false" outlineLevel="0" collapsed="false">
      <c r="A237" s="5"/>
      <c r="B237" s="13"/>
      <c r="C237" s="5"/>
      <c r="D237" s="5"/>
      <c r="E237" s="15"/>
      <c r="F237" s="15" t="str">
        <f aca="false">IF(E237="","",ROUND(E237*$N$1,2))</f>
        <v/>
      </c>
      <c r="G237" s="15" t="str">
        <f aca="false">IF(E237="","",E237+F237)</f>
        <v/>
      </c>
      <c r="H237" s="5"/>
      <c r="I237" s="5"/>
      <c r="J237" s="13"/>
      <c r="K237" s="5"/>
    </row>
    <row r="238" customFormat="false" ht="15" hidden="false" customHeight="false" outlineLevel="0" collapsed="false">
      <c r="A238" s="5"/>
      <c r="B238" s="13"/>
      <c r="C238" s="5"/>
      <c r="D238" s="5"/>
      <c r="E238" s="15"/>
      <c r="F238" s="15" t="str">
        <f aca="false">IF(E238="","",ROUND(E238*$N$1,2))</f>
        <v/>
      </c>
      <c r="G238" s="15" t="str">
        <f aca="false">IF(E238="","",E238+F238)</f>
        <v/>
      </c>
      <c r="H238" s="5"/>
      <c r="I238" s="5"/>
      <c r="J238" s="13"/>
      <c r="K238" s="5"/>
    </row>
    <row r="239" customFormat="false" ht="15" hidden="false" customHeight="false" outlineLevel="0" collapsed="false">
      <c r="A239" s="5"/>
      <c r="B239" s="13"/>
      <c r="C239" s="5"/>
      <c r="D239" s="5"/>
      <c r="E239" s="15"/>
      <c r="F239" s="15" t="str">
        <f aca="false">IF(E239="","",ROUND(E239*$N$1,2))</f>
        <v/>
      </c>
      <c r="G239" s="15" t="str">
        <f aca="false">IF(E239="","",E239+F239)</f>
        <v/>
      </c>
      <c r="H239" s="5"/>
      <c r="I239" s="5"/>
      <c r="J239" s="13"/>
      <c r="K239" s="5"/>
    </row>
    <row r="240" customFormat="false" ht="15" hidden="false" customHeight="false" outlineLevel="0" collapsed="false">
      <c r="A240" s="5"/>
      <c r="B240" s="13"/>
      <c r="C240" s="5"/>
      <c r="D240" s="5"/>
      <c r="E240" s="15"/>
      <c r="F240" s="15" t="str">
        <f aca="false">IF(E240="","",ROUND(E240*$N$1,2))</f>
        <v/>
      </c>
      <c r="G240" s="15" t="str">
        <f aca="false">IF(E240="","",E240+F240)</f>
        <v/>
      </c>
      <c r="H240" s="5"/>
      <c r="I240" s="5"/>
      <c r="J240" s="13"/>
      <c r="K240" s="5"/>
    </row>
    <row r="241" customFormat="false" ht="15" hidden="false" customHeight="false" outlineLevel="0" collapsed="false">
      <c r="A241" s="5"/>
      <c r="B241" s="13"/>
      <c r="C241" s="5"/>
      <c r="D241" s="5"/>
      <c r="E241" s="15"/>
      <c r="F241" s="15" t="str">
        <f aca="false">IF(E241="","",ROUND(E241*$N$1,2))</f>
        <v/>
      </c>
      <c r="G241" s="15" t="str">
        <f aca="false">IF(E241="","",E241+F241)</f>
        <v/>
      </c>
      <c r="H241" s="5"/>
      <c r="I241" s="5"/>
      <c r="J241" s="13"/>
      <c r="K241" s="5"/>
    </row>
    <row r="242" customFormat="false" ht="15" hidden="false" customHeight="false" outlineLevel="0" collapsed="false">
      <c r="A242" s="5"/>
      <c r="B242" s="13"/>
      <c r="C242" s="5"/>
      <c r="D242" s="5"/>
      <c r="E242" s="15"/>
      <c r="F242" s="15" t="str">
        <f aca="false">IF(E242="","",ROUND(E242*$N$1,2))</f>
        <v/>
      </c>
      <c r="G242" s="15" t="str">
        <f aca="false">IF(E242="","",E242+F242)</f>
        <v/>
      </c>
      <c r="H242" s="5"/>
      <c r="I242" s="5"/>
      <c r="J242" s="13"/>
      <c r="K242" s="5"/>
    </row>
    <row r="243" customFormat="false" ht="15" hidden="false" customHeight="false" outlineLevel="0" collapsed="false">
      <c r="A243" s="5"/>
      <c r="B243" s="13"/>
      <c r="C243" s="5"/>
      <c r="D243" s="5"/>
      <c r="E243" s="15"/>
      <c r="F243" s="15" t="str">
        <f aca="false">IF(E243="","",ROUND(E243*$N$1,2))</f>
        <v/>
      </c>
      <c r="G243" s="15" t="str">
        <f aca="false">IF(E243="","",E243+F243)</f>
        <v/>
      </c>
      <c r="H243" s="5"/>
      <c r="I243" s="5"/>
      <c r="J243" s="13"/>
      <c r="K243" s="5"/>
    </row>
    <row r="244" customFormat="false" ht="15" hidden="false" customHeight="false" outlineLevel="0" collapsed="false">
      <c r="A244" s="5"/>
      <c r="B244" s="13"/>
      <c r="C244" s="5"/>
      <c r="D244" s="5"/>
      <c r="E244" s="15"/>
      <c r="F244" s="15" t="str">
        <f aca="false">IF(E244="","",ROUND(E244*$N$1,2))</f>
        <v/>
      </c>
      <c r="G244" s="15" t="str">
        <f aca="false">IF(E244="","",E244+F244)</f>
        <v/>
      </c>
      <c r="H244" s="5"/>
      <c r="I244" s="5"/>
      <c r="J244" s="13"/>
      <c r="K244" s="5"/>
    </row>
    <row r="245" customFormat="false" ht="15" hidden="false" customHeight="false" outlineLevel="0" collapsed="false">
      <c r="A245" s="5"/>
      <c r="B245" s="13"/>
      <c r="C245" s="5"/>
      <c r="D245" s="5"/>
      <c r="E245" s="15"/>
      <c r="F245" s="15" t="str">
        <f aca="false">IF(E245="","",ROUND(E245*$N$1,2))</f>
        <v/>
      </c>
      <c r="G245" s="15" t="str">
        <f aca="false">IF(E245="","",E245+F245)</f>
        <v/>
      </c>
      <c r="H245" s="5"/>
      <c r="I245" s="5"/>
      <c r="J245" s="13"/>
      <c r="K245" s="5"/>
    </row>
    <row r="246" customFormat="false" ht="15" hidden="false" customHeight="false" outlineLevel="0" collapsed="false">
      <c r="A246" s="5"/>
      <c r="B246" s="13"/>
      <c r="C246" s="5"/>
      <c r="D246" s="5"/>
      <c r="E246" s="15"/>
      <c r="F246" s="15" t="str">
        <f aca="false">IF(E246="","",ROUND(E246*$N$1,2))</f>
        <v/>
      </c>
      <c r="G246" s="15" t="str">
        <f aca="false">IF(E246="","",E246+F246)</f>
        <v/>
      </c>
      <c r="H246" s="5"/>
      <c r="I246" s="5"/>
      <c r="J246" s="13"/>
      <c r="K246" s="5"/>
    </row>
    <row r="247" customFormat="false" ht="15" hidden="false" customHeight="false" outlineLevel="0" collapsed="false">
      <c r="A247" s="5"/>
      <c r="B247" s="13"/>
      <c r="C247" s="5"/>
      <c r="D247" s="5"/>
      <c r="E247" s="15"/>
      <c r="F247" s="15" t="str">
        <f aca="false">IF(E247="","",ROUND(E247*$N$1,2))</f>
        <v/>
      </c>
      <c r="G247" s="15" t="str">
        <f aca="false">IF(E247="","",E247+F247)</f>
        <v/>
      </c>
      <c r="H247" s="5"/>
      <c r="I247" s="5"/>
      <c r="J247" s="13"/>
      <c r="K247" s="5"/>
    </row>
    <row r="248" customFormat="false" ht="15" hidden="false" customHeight="false" outlineLevel="0" collapsed="false">
      <c r="A248" s="5"/>
      <c r="B248" s="13"/>
      <c r="C248" s="5"/>
      <c r="D248" s="5"/>
      <c r="E248" s="15"/>
      <c r="F248" s="15" t="str">
        <f aca="false">IF(E248="","",ROUND(E248*$N$1,2))</f>
        <v/>
      </c>
      <c r="G248" s="15" t="str">
        <f aca="false">IF(E248="","",E248+F248)</f>
        <v/>
      </c>
      <c r="H248" s="5"/>
      <c r="I248" s="5"/>
      <c r="J248" s="13"/>
      <c r="K248" s="5"/>
    </row>
    <row r="249" customFormat="false" ht="15" hidden="false" customHeight="false" outlineLevel="0" collapsed="false">
      <c r="A249" s="5"/>
      <c r="B249" s="13"/>
      <c r="C249" s="5"/>
      <c r="D249" s="5"/>
      <c r="E249" s="15"/>
      <c r="F249" s="15" t="str">
        <f aca="false">IF(E249="","",ROUND(E249*$N$1,2))</f>
        <v/>
      </c>
      <c r="G249" s="15" t="str">
        <f aca="false">IF(E249="","",E249+F249)</f>
        <v/>
      </c>
      <c r="H249" s="5"/>
      <c r="I249" s="5"/>
      <c r="J249" s="13"/>
      <c r="K249" s="5"/>
    </row>
    <row r="250" customFormat="false" ht="15" hidden="false" customHeight="false" outlineLevel="0" collapsed="false">
      <c r="A250" s="5"/>
      <c r="B250" s="13"/>
      <c r="C250" s="5"/>
      <c r="D250" s="5"/>
      <c r="E250" s="15"/>
      <c r="F250" s="15" t="str">
        <f aca="false">IF(E250="","",ROUND(E250*$N$1,2))</f>
        <v/>
      </c>
      <c r="G250" s="15" t="str">
        <f aca="false">IF(E250="","",E250+F250)</f>
        <v/>
      </c>
      <c r="H250" s="5"/>
      <c r="I250" s="5"/>
      <c r="J250" s="13"/>
      <c r="K250" s="5"/>
    </row>
    <row r="251" customFormat="false" ht="15" hidden="false" customHeight="false" outlineLevel="0" collapsed="false">
      <c r="A251" s="5"/>
      <c r="B251" s="13"/>
      <c r="C251" s="5"/>
      <c r="D251" s="5"/>
      <c r="E251" s="15"/>
      <c r="F251" s="15" t="str">
        <f aca="false">IF(E251="","",ROUND(E251*$N$1,2))</f>
        <v/>
      </c>
      <c r="G251" s="15" t="str">
        <f aca="false">IF(E251="","",E251+F251)</f>
        <v/>
      </c>
      <c r="H251" s="5"/>
      <c r="I251" s="5"/>
      <c r="J251" s="13"/>
      <c r="K251" s="5"/>
    </row>
    <row r="252" customFormat="false" ht="15" hidden="false" customHeight="false" outlineLevel="0" collapsed="false">
      <c r="A252" s="5"/>
      <c r="B252" s="13"/>
      <c r="C252" s="5"/>
      <c r="D252" s="5"/>
      <c r="E252" s="15"/>
      <c r="F252" s="15" t="str">
        <f aca="false">IF(E252="","",ROUND(E252*$N$1,2))</f>
        <v/>
      </c>
      <c r="G252" s="15" t="str">
        <f aca="false">IF(E252="","",E252+F252)</f>
        <v/>
      </c>
      <c r="H252" s="5"/>
      <c r="I252" s="5"/>
      <c r="J252" s="13"/>
      <c r="K252" s="5"/>
    </row>
    <row r="253" customFormat="false" ht="15" hidden="false" customHeight="false" outlineLevel="0" collapsed="false">
      <c r="A253" s="5"/>
      <c r="B253" s="13"/>
      <c r="C253" s="5"/>
      <c r="D253" s="5"/>
      <c r="E253" s="15"/>
      <c r="F253" s="15" t="str">
        <f aca="false">IF(E253="","",ROUND(E253*$N$1,2))</f>
        <v/>
      </c>
      <c r="G253" s="15" t="str">
        <f aca="false">IF(E253="","",E253+F253)</f>
        <v/>
      </c>
      <c r="H253" s="5"/>
      <c r="I253" s="5"/>
      <c r="J253" s="13"/>
      <c r="K253" s="5"/>
    </row>
    <row r="254" customFormat="false" ht="15" hidden="false" customHeight="false" outlineLevel="0" collapsed="false">
      <c r="A254" s="5"/>
      <c r="B254" s="13"/>
      <c r="C254" s="5"/>
      <c r="D254" s="5"/>
      <c r="E254" s="15"/>
      <c r="F254" s="15" t="str">
        <f aca="false">IF(E254="","",ROUND(E254*$N$1,2))</f>
        <v/>
      </c>
      <c r="G254" s="15" t="str">
        <f aca="false">IF(E254="","",E254+F254)</f>
        <v/>
      </c>
      <c r="H254" s="5"/>
      <c r="I254" s="5"/>
      <c r="J254" s="13"/>
      <c r="K254" s="5"/>
    </row>
    <row r="255" customFormat="false" ht="15" hidden="false" customHeight="false" outlineLevel="0" collapsed="false">
      <c r="A255" s="5"/>
      <c r="B255" s="13"/>
      <c r="C255" s="5"/>
      <c r="D255" s="5"/>
      <c r="E255" s="15"/>
      <c r="F255" s="15" t="str">
        <f aca="false">IF(E255="","",ROUND(E255*$N$1,2))</f>
        <v/>
      </c>
      <c r="G255" s="15" t="str">
        <f aca="false">IF(E255="","",E255+F255)</f>
        <v/>
      </c>
      <c r="H255" s="5"/>
      <c r="I255" s="5"/>
      <c r="J255" s="13"/>
      <c r="K255" s="5"/>
    </row>
    <row r="256" customFormat="false" ht="15" hidden="false" customHeight="false" outlineLevel="0" collapsed="false">
      <c r="A256" s="5"/>
      <c r="B256" s="13"/>
      <c r="C256" s="5"/>
      <c r="D256" s="5"/>
      <c r="E256" s="15"/>
      <c r="F256" s="15" t="str">
        <f aca="false">IF(E256="","",ROUND(E256*$N$1,2))</f>
        <v/>
      </c>
      <c r="G256" s="15" t="str">
        <f aca="false">IF(E256="","",E256+F256)</f>
        <v/>
      </c>
      <c r="H256" s="5"/>
      <c r="I256" s="5"/>
      <c r="J256" s="13"/>
      <c r="K256" s="5"/>
    </row>
    <row r="257" customFormat="false" ht="15" hidden="false" customHeight="false" outlineLevel="0" collapsed="false">
      <c r="A257" s="5"/>
      <c r="B257" s="13"/>
      <c r="C257" s="5"/>
      <c r="D257" s="5"/>
      <c r="E257" s="15"/>
      <c r="F257" s="15" t="str">
        <f aca="false">IF(E257="","",ROUND(E257*$N$1,2))</f>
        <v/>
      </c>
      <c r="G257" s="15" t="str">
        <f aca="false">IF(E257="","",E257+F257)</f>
        <v/>
      </c>
      <c r="H257" s="5"/>
      <c r="I257" s="5"/>
      <c r="J257" s="13"/>
      <c r="K257" s="5"/>
    </row>
    <row r="258" customFormat="false" ht="15" hidden="false" customHeight="false" outlineLevel="0" collapsed="false">
      <c r="A258" s="5"/>
      <c r="B258" s="13"/>
      <c r="C258" s="5"/>
      <c r="D258" s="5"/>
      <c r="E258" s="15"/>
      <c r="F258" s="15" t="str">
        <f aca="false">IF(E258="","",ROUND(E258*$N$1,2))</f>
        <v/>
      </c>
      <c r="G258" s="15" t="str">
        <f aca="false">IF(E258="","",E258+F258)</f>
        <v/>
      </c>
      <c r="H258" s="5"/>
      <c r="I258" s="5"/>
      <c r="J258" s="13"/>
      <c r="K258" s="5"/>
    </row>
    <row r="259" customFormat="false" ht="15" hidden="false" customHeight="false" outlineLevel="0" collapsed="false">
      <c r="A259" s="5"/>
      <c r="B259" s="13"/>
      <c r="C259" s="5"/>
      <c r="D259" s="5"/>
      <c r="E259" s="15"/>
      <c r="F259" s="15" t="str">
        <f aca="false">IF(E259="","",ROUND(E259*$N$1,2))</f>
        <v/>
      </c>
      <c r="G259" s="15" t="str">
        <f aca="false">IF(E259="","",E259+F259)</f>
        <v/>
      </c>
      <c r="H259" s="5"/>
      <c r="I259" s="5"/>
      <c r="J259" s="13"/>
      <c r="K259" s="5"/>
    </row>
    <row r="260" customFormat="false" ht="15" hidden="false" customHeight="false" outlineLevel="0" collapsed="false">
      <c r="A260" s="5"/>
      <c r="B260" s="13"/>
      <c r="C260" s="5"/>
      <c r="D260" s="5"/>
      <c r="E260" s="15"/>
      <c r="F260" s="15" t="str">
        <f aca="false">IF(E260="","",ROUND(E260*$N$1,2))</f>
        <v/>
      </c>
      <c r="G260" s="15" t="str">
        <f aca="false">IF(E260="","",E260+F260)</f>
        <v/>
      </c>
      <c r="H260" s="5"/>
      <c r="I260" s="5"/>
      <c r="J260" s="13"/>
      <c r="K260" s="5"/>
    </row>
    <row r="261" customFormat="false" ht="15" hidden="false" customHeight="false" outlineLevel="0" collapsed="false">
      <c r="A261" s="5"/>
      <c r="B261" s="13"/>
      <c r="C261" s="5"/>
      <c r="D261" s="5"/>
      <c r="E261" s="15"/>
      <c r="F261" s="15" t="str">
        <f aca="false">IF(E261="","",ROUND(E261*$N$1,2))</f>
        <v/>
      </c>
      <c r="G261" s="15" t="str">
        <f aca="false">IF(E261="","",E261+F261)</f>
        <v/>
      </c>
      <c r="H261" s="5"/>
      <c r="I261" s="5"/>
      <c r="J261" s="13"/>
      <c r="K261" s="5"/>
    </row>
    <row r="262" customFormat="false" ht="15" hidden="false" customHeight="false" outlineLevel="0" collapsed="false">
      <c r="A262" s="5"/>
      <c r="B262" s="13"/>
      <c r="C262" s="5"/>
      <c r="D262" s="5"/>
      <c r="E262" s="15"/>
      <c r="F262" s="15" t="str">
        <f aca="false">IF(E262="","",ROUND(E262*$N$1,2))</f>
        <v/>
      </c>
      <c r="G262" s="15" t="str">
        <f aca="false">IF(E262="","",E262+F262)</f>
        <v/>
      </c>
      <c r="H262" s="5"/>
      <c r="I262" s="5"/>
      <c r="J262" s="13"/>
      <c r="K262" s="5"/>
    </row>
    <row r="263" customFormat="false" ht="15" hidden="false" customHeight="false" outlineLevel="0" collapsed="false">
      <c r="A263" s="5"/>
      <c r="B263" s="13"/>
      <c r="C263" s="5"/>
      <c r="D263" s="5"/>
      <c r="E263" s="15"/>
      <c r="F263" s="15" t="str">
        <f aca="false">IF(E263="","",ROUND(E263*$N$1,2))</f>
        <v/>
      </c>
      <c r="G263" s="15" t="str">
        <f aca="false">IF(E263="","",E263+F263)</f>
        <v/>
      </c>
      <c r="H263" s="5"/>
      <c r="I263" s="5"/>
      <c r="J263" s="13"/>
      <c r="K263" s="5"/>
    </row>
    <row r="264" customFormat="false" ht="15" hidden="false" customHeight="false" outlineLevel="0" collapsed="false">
      <c r="A264" s="5"/>
      <c r="B264" s="13"/>
      <c r="C264" s="5"/>
      <c r="D264" s="5"/>
      <c r="E264" s="15"/>
      <c r="F264" s="15" t="str">
        <f aca="false">IF(E264="","",ROUND(E264*$N$1,2))</f>
        <v/>
      </c>
      <c r="G264" s="15" t="str">
        <f aca="false">IF(E264="","",E264+F264)</f>
        <v/>
      </c>
      <c r="H264" s="5"/>
      <c r="I264" s="5"/>
      <c r="J264" s="13"/>
      <c r="K264" s="5"/>
    </row>
    <row r="265" customFormat="false" ht="15" hidden="false" customHeight="false" outlineLevel="0" collapsed="false">
      <c r="A265" s="5"/>
      <c r="B265" s="13"/>
      <c r="C265" s="5"/>
      <c r="D265" s="5"/>
      <c r="E265" s="15"/>
      <c r="F265" s="15" t="str">
        <f aca="false">IF(E265="","",ROUND(E265*$N$1,2))</f>
        <v/>
      </c>
      <c r="G265" s="15" t="str">
        <f aca="false">IF(E265="","",E265+F265)</f>
        <v/>
      </c>
      <c r="H265" s="5"/>
      <c r="I265" s="5"/>
      <c r="J265" s="13"/>
      <c r="K265" s="5"/>
    </row>
    <row r="266" customFormat="false" ht="15" hidden="false" customHeight="false" outlineLevel="0" collapsed="false">
      <c r="A266" s="5"/>
      <c r="B266" s="13"/>
      <c r="C266" s="5"/>
      <c r="D266" s="5"/>
      <c r="E266" s="15"/>
      <c r="F266" s="15" t="str">
        <f aca="false">IF(E266="","",ROUND(E266*$N$1,2))</f>
        <v/>
      </c>
      <c r="G266" s="15" t="str">
        <f aca="false">IF(E266="","",E266+F266)</f>
        <v/>
      </c>
      <c r="H266" s="5"/>
      <c r="I266" s="5"/>
      <c r="J266" s="13"/>
      <c r="K266" s="5"/>
    </row>
    <row r="267" customFormat="false" ht="15" hidden="false" customHeight="false" outlineLevel="0" collapsed="false">
      <c r="A267" s="5"/>
      <c r="B267" s="13"/>
      <c r="C267" s="5"/>
      <c r="D267" s="5"/>
      <c r="E267" s="15"/>
      <c r="F267" s="15" t="str">
        <f aca="false">IF(E267="","",ROUND(E267*$N$1,2))</f>
        <v/>
      </c>
      <c r="G267" s="15" t="str">
        <f aca="false">IF(E267="","",E267+F267)</f>
        <v/>
      </c>
      <c r="H267" s="5"/>
      <c r="I267" s="5"/>
      <c r="J267" s="13"/>
      <c r="K267" s="5"/>
    </row>
    <row r="268" customFormat="false" ht="15" hidden="false" customHeight="false" outlineLevel="0" collapsed="false">
      <c r="A268" s="5"/>
      <c r="B268" s="13"/>
      <c r="C268" s="5"/>
      <c r="D268" s="5"/>
      <c r="E268" s="15"/>
      <c r="F268" s="15" t="str">
        <f aca="false">IF(E268="","",ROUND(E268*$N$1,2))</f>
        <v/>
      </c>
      <c r="G268" s="15" t="str">
        <f aca="false">IF(E268="","",E268+F268)</f>
        <v/>
      </c>
      <c r="H268" s="5"/>
      <c r="I268" s="5"/>
      <c r="J268" s="13"/>
      <c r="K268" s="5"/>
    </row>
    <row r="269" customFormat="false" ht="15" hidden="false" customHeight="false" outlineLevel="0" collapsed="false">
      <c r="A269" s="5"/>
      <c r="B269" s="13"/>
      <c r="C269" s="5"/>
      <c r="D269" s="5"/>
      <c r="E269" s="15"/>
      <c r="F269" s="15" t="str">
        <f aca="false">IF(E269="","",ROUND(E269*$N$1,2))</f>
        <v/>
      </c>
      <c r="G269" s="15" t="str">
        <f aca="false">IF(E269="","",E269+F269)</f>
        <v/>
      </c>
      <c r="H269" s="5"/>
      <c r="I269" s="5"/>
      <c r="J269" s="13"/>
      <c r="K269" s="5"/>
    </row>
    <row r="270" customFormat="false" ht="15" hidden="false" customHeight="false" outlineLevel="0" collapsed="false">
      <c r="A270" s="5"/>
      <c r="B270" s="13"/>
      <c r="C270" s="5"/>
      <c r="D270" s="5"/>
      <c r="E270" s="15"/>
      <c r="F270" s="15" t="str">
        <f aca="false">IF(E270="","",ROUND(E270*$N$1,2))</f>
        <v/>
      </c>
      <c r="G270" s="15" t="str">
        <f aca="false">IF(E270="","",E270+F270)</f>
        <v/>
      </c>
      <c r="H270" s="5"/>
      <c r="I270" s="5"/>
      <c r="J270" s="13"/>
      <c r="K270" s="5"/>
    </row>
    <row r="271" customFormat="false" ht="15" hidden="false" customHeight="false" outlineLevel="0" collapsed="false">
      <c r="A271" s="5"/>
      <c r="B271" s="13"/>
      <c r="C271" s="5"/>
      <c r="D271" s="5"/>
      <c r="E271" s="15"/>
      <c r="F271" s="15" t="str">
        <f aca="false">IF(E271="","",ROUND(E271*$N$1,2))</f>
        <v/>
      </c>
      <c r="G271" s="15" t="str">
        <f aca="false">IF(E271="","",E271+F271)</f>
        <v/>
      </c>
      <c r="H271" s="5"/>
      <c r="I271" s="5"/>
      <c r="J271" s="13"/>
      <c r="K271" s="5"/>
    </row>
    <row r="272" customFormat="false" ht="15" hidden="false" customHeight="false" outlineLevel="0" collapsed="false">
      <c r="A272" s="5"/>
      <c r="B272" s="13"/>
      <c r="C272" s="5"/>
      <c r="D272" s="5"/>
      <c r="E272" s="15"/>
      <c r="F272" s="15" t="str">
        <f aca="false">IF(E272="","",ROUND(E272*$N$1,2))</f>
        <v/>
      </c>
      <c r="G272" s="15" t="str">
        <f aca="false">IF(E272="","",E272+F272)</f>
        <v/>
      </c>
      <c r="H272" s="5"/>
      <c r="I272" s="5"/>
      <c r="J272" s="13"/>
      <c r="K272" s="5"/>
    </row>
    <row r="273" customFormat="false" ht="15" hidden="false" customHeight="false" outlineLevel="0" collapsed="false">
      <c r="A273" s="5"/>
      <c r="B273" s="13"/>
      <c r="C273" s="5"/>
      <c r="D273" s="5"/>
      <c r="E273" s="15"/>
      <c r="F273" s="15" t="str">
        <f aca="false">IF(E273="","",ROUND(E273*$N$1,2))</f>
        <v/>
      </c>
      <c r="G273" s="15" t="str">
        <f aca="false">IF(E273="","",E273+F273)</f>
        <v/>
      </c>
      <c r="H273" s="5"/>
      <c r="I273" s="5"/>
      <c r="J273" s="13"/>
      <c r="K273" s="5"/>
    </row>
    <row r="274" customFormat="false" ht="15" hidden="false" customHeight="false" outlineLevel="0" collapsed="false">
      <c r="A274" s="5"/>
      <c r="B274" s="13"/>
      <c r="C274" s="5"/>
      <c r="D274" s="5"/>
      <c r="E274" s="15"/>
      <c r="F274" s="15" t="str">
        <f aca="false">IF(E274="","",ROUND(E274*$N$1,2))</f>
        <v/>
      </c>
      <c r="G274" s="15" t="str">
        <f aca="false">IF(E274="","",E274+F274)</f>
        <v/>
      </c>
      <c r="H274" s="5"/>
      <c r="I274" s="5"/>
      <c r="J274" s="13"/>
      <c r="K274" s="5"/>
    </row>
    <row r="275" customFormat="false" ht="15" hidden="false" customHeight="false" outlineLevel="0" collapsed="false">
      <c r="A275" s="5"/>
      <c r="B275" s="13"/>
      <c r="C275" s="5"/>
      <c r="D275" s="5"/>
      <c r="E275" s="15"/>
      <c r="F275" s="15" t="str">
        <f aca="false">IF(E275="","",ROUND(E275*$N$1,2))</f>
        <v/>
      </c>
      <c r="G275" s="15" t="str">
        <f aca="false">IF(E275="","",E275+F275)</f>
        <v/>
      </c>
      <c r="H275" s="5"/>
      <c r="I275" s="5"/>
      <c r="J275" s="13"/>
      <c r="K275" s="5"/>
    </row>
    <row r="276" customFormat="false" ht="15" hidden="false" customHeight="false" outlineLevel="0" collapsed="false">
      <c r="A276" s="5"/>
      <c r="B276" s="13"/>
      <c r="C276" s="5"/>
      <c r="D276" s="5"/>
      <c r="E276" s="15"/>
      <c r="F276" s="15" t="str">
        <f aca="false">IF(E276="","",ROUND(E276*$N$1,2))</f>
        <v/>
      </c>
      <c r="G276" s="15" t="str">
        <f aca="false">IF(E276="","",E276+F276)</f>
        <v/>
      </c>
      <c r="H276" s="5"/>
      <c r="I276" s="5"/>
      <c r="J276" s="13"/>
      <c r="K276" s="5"/>
    </row>
    <row r="277" customFormat="false" ht="15" hidden="false" customHeight="false" outlineLevel="0" collapsed="false">
      <c r="A277" s="5"/>
      <c r="B277" s="13"/>
      <c r="C277" s="5"/>
      <c r="D277" s="5"/>
      <c r="E277" s="15"/>
      <c r="F277" s="15" t="str">
        <f aca="false">IF(E277="","",ROUND(E277*$N$1,2))</f>
        <v/>
      </c>
      <c r="G277" s="15" t="str">
        <f aca="false">IF(E277="","",E277+F277)</f>
        <v/>
      </c>
      <c r="H277" s="5"/>
      <c r="I277" s="5"/>
      <c r="J277" s="13"/>
      <c r="K277" s="5"/>
    </row>
    <row r="278" customFormat="false" ht="15" hidden="false" customHeight="false" outlineLevel="0" collapsed="false">
      <c r="A278" s="5"/>
      <c r="B278" s="13"/>
      <c r="C278" s="5"/>
      <c r="D278" s="5"/>
      <c r="E278" s="15"/>
      <c r="F278" s="15" t="str">
        <f aca="false">IF(E278="","",ROUND(E278*$N$1,2))</f>
        <v/>
      </c>
      <c r="G278" s="15" t="str">
        <f aca="false">IF(E278="","",E278+F278)</f>
        <v/>
      </c>
      <c r="H278" s="5"/>
      <c r="I278" s="5"/>
      <c r="J278" s="13"/>
      <c r="K278" s="5"/>
    </row>
    <row r="279" customFormat="false" ht="15" hidden="false" customHeight="false" outlineLevel="0" collapsed="false">
      <c r="A279" s="5"/>
      <c r="B279" s="13"/>
      <c r="C279" s="5"/>
      <c r="D279" s="5"/>
      <c r="E279" s="15"/>
      <c r="F279" s="15" t="str">
        <f aca="false">IF(E279="","",ROUND(E279*$N$1,2))</f>
        <v/>
      </c>
      <c r="G279" s="15" t="str">
        <f aca="false">IF(E279="","",E279+F279)</f>
        <v/>
      </c>
      <c r="H279" s="5"/>
      <c r="I279" s="5"/>
      <c r="J279" s="13"/>
      <c r="K279" s="5"/>
    </row>
    <row r="280" customFormat="false" ht="15" hidden="false" customHeight="false" outlineLevel="0" collapsed="false">
      <c r="A280" s="5"/>
      <c r="B280" s="13"/>
      <c r="C280" s="5"/>
      <c r="D280" s="5"/>
      <c r="E280" s="15"/>
      <c r="F280" s="15" t="str">
        <f aca="false">IF(E280="","",ROUND(E280*$N$1,2))</f>
        <v/>
      </c>
      <c r="G280" s="15" t="str">
        <f aca="false">IF(E280="","",E280+F280)</f>
        <v/>
      </c>
      <c r="H280" s="5"/>
      <c r="I280" s="5"/>
      <c r="J280" s="13"/>
      <c r="K280" s="5"/>
    </row>
    <row r="281" customFormat="false" ht="15" hidden="false" customHeight="false" outlineLevel="0" collapsed="false">
      <c r="A281" s="5"/>
      <c r="B281" s="13"/>
      <c r="C281" s="5"/>
      <c r="D281" s="5"/>
      <c r="E281" s="15"/>
      <c r="F281" s="15" t="str">
        <f aca="false">IF(E281="","",ROUND(E281*$N$1,2))</f>
        <v/>
      </c>
      <c r="G281" s="15" t="str">
        <f aca="false">IF(E281="","",E281+F281)</f>
        <v/>
      </c>
      <c r="H281" s="5"/>
      <c r="I281" s="5"/>
      <c r="J281" s="13"/>
      <c r="K281" s="5"/>
    </row>
    <row r="282" customFormat="false" ht="15" hidden="false" customHeight="false" outlineLevel="0" collapsed="false">
      <c r="A282" s="5"/>
      <c r="B282" s="13"/>
      <c r="C282" s="5"/>
      <c r="D282" s="5"/>
      <c r="E282" s="15"/>
      <c r="F282" s="15" t="str">
        <f aca="false">IF(E282="","",ROUND(E282*$N$1,2))</f>
        <v/>
      </c>
      <c r="G282" s="15" t="str">
        <f aca="false">IF(E282="","",E282+F282)</f>
        <v/>
      </c>
      <c r="H282" s="5"/>
      <c r="I282" s="5"/>
      <c r="J282" s="13"/>
      <c r="K282" s="5"/>
    </row>
    <row r="283" customFormat="false" ht="15" hidden="false" customHeight="false" outlineLevel="0" collapsed="false">
      <c r="A283" s="5"/>
      <c r="B283" s="13"/>
      <c r="C283" s="5"/>
      <c r="D283" s="5"/>
      <c r="E283" s="15"/>
      <c r="F283" s="15" t="str">
        <f aca="false">IF(E283="","",ROUND(E283*$N$1,2))</f>
        <v/>
      </c>
      <c r="G283" s="15" t="str">
        <f aca="false">IF(E283="","",E283+F283)</f>
        <v/>
      </c>
      <c r="H283" s="5"/>
      <c r="I283" s="5"/>
      <c r="J283" s="13"/>
      <c r="K283" s="5"/>
    </row>
    <row r="284" customFormat="false" ht="15" hidden="false" customHeight="false" outlineLevel="0" collapsed="false">
      <c r="A284" s="5"/>
      <c r="B284" s="13"/>
      <c r="C284" s="5"/>
      <c r="D284" s="5"/>
      <c r="E284" s="15"/>
      <c r="F284" s="15" t="str">
        <f aca="false">IF(E284="","",ROUND(E284*$N$1,2))</f>
        <v/>
      </c>
      <c r="G284" s="15" t="str">
        <f aca="false">IF(E284="","",E284+F284)</f>
        <v/>
      </c>
      <c r="H284" s="5"/>
      <c r="I284" s="5"/>
      <c r="J284" s="13"/>
      <c r="K284" s="5"/>
    </row>
    <row r="285" customFormat="false" ht="15" hidden="false" customHeight="false" outlineLevel="0" collapsed="false">
      <c r="A285" s="5"/>
      <c r="B285" s="13"/>
      <c r="C285" s="5"/>
      <c r="D285" s="5"/>
      <c r="E285" s="15"/>
      <c r="F285" s="15" t="str">
        <f aca="false">IF(E285="","",ROUND(E285*$N$1,2))</f>
        <v/>
      </c>
      <c r="G285" s="15" t="str">
        <f aca="false">IF(E285="","",E285+F285)</f>
        <v/>
      </c>
      <c r="H285" s="5"/>
      <c r="I285" s="5"/>
      <c r="J285" s="13"/>
      <c r="K285" s="5"/>
    </row>
    <row r="286" customFormat="false" ht="15" hidden="false" customHeight="false" outlineLevel="0" collapsed="false">
      <c r="A286" s="5"/>
      <c r="B286" s="13"/>
      <c r="C286" s="5"/>
      <c r="D286" s="5"/>
      <c r="E286" s="15"/>
      <c r="F286" s="15" t="str">
        <f aca="false">IF(E286="","",ROUND(E286*$N$1,2))</f>
        <v/>
      </c>
      <c r="G286" s="15" t="str">
        <f aca="false">IF(E286="","",E286+F286)</f>
        <v/>
      </c>
      <c r="H286" s="5"/>
      <c r="I286" s="5"/>
      <c r="J286" s="13"/>
      <c r="K286" s="5"/>
    </row>
    <row r="287" customFormat="false" ht="15" hidden="false" customHeight="false" outlineLevel="0" collapsed="false">
      <c r="A287" s="5"/>
      <c r="B287" s="13"/>
      <c r="C287" s="5"/>
      <c r="D287" s="5"/>
      <c r="E287" s="15"/>
      <c r="F287" s="15" t="str">
        <f aca="false">IF(E287="","",ROUND(E287*$N$1,2))</f>
        <v/>
      </c>
      <c r="G287" s="15" t="str">
        <f aca="false">IF(E287="","",E287+F287)</f>
        <v/>
      </c>
      <c r="H287" s="5"/>
      <c r="I287" s="5"/>
      <c r="J287" s="13"/>
      <c r="K287" s="5"/>
    </row>
    <row r="288" customFormat="false" ht="15" hidden="false" customHeight="false" outlineLevel="0" collapsed="false">
      <c r="A288" s="5"/>
      <c r="B288" s="13"/>
      <c r="C288" s="5"/>
      <c r="D288" s="5"/>
      <c r="E288" s="15"/>
      <c r="F288" s="15" t="str">
        <f aca="false">IF(E288="","",ROUND(E288*$N$1,2))</f>
        <v/>
      </c>
      <c r="G288" s="15" t="str">
        <f aca="false">IF(E288="","",E288+F288)</f>
        <v/>
      </c>
      <c r="H288" s="5"/>
      <c r="I288" s="5"/>
      <c r="J288" s="13"/>
      <c r="K288" s="5"/>
    </row>
    <row r="289" customFormat="false" ht="15" hidden="false" customHeight="false" outlineLevel="0" collapsed="false">
      <c r="A289" s="5"/>
      <c r="B289" s="13"/>
      <c r="C289" s="5"/>
      <c r="D289" s="5"/>
      <c r="E289" s="15"/>
      <c r="F289" s="15" t="str">
        <f aca="false">IF(E289="","",ROUND(E289*$N$1,2))</f>
        <v/>
      </c>
      <c r="G289" s="15" t="str">
        <f aca="false">IF(E289="","",E289+F289)</f>
        <v/>
      </c>
      <c r="H289" s="5"/>
      <c r="I289" s="5"/>
      <c r="J289" s="13"/>
      <c r="K289" s="5"/>
    </row>
    <row r="290" customFormat="false" ht="15" hidden="false" customHeight="false" outlineLevel="0" collapsed="false">
      <c r="A290" s="5"/>
      <c r="B290" s="13"/>
      <c r="C290" s="5"/>
      <c r="D290" s="5"/>
      <c r="E290" s="15"/>
      <c r="F290" s="15" t="str">
        <f aca="false">IF(E290="","",ROUND(E290*$N$1,2))</f>
        <v/>
      </c>
      <c r="G290" s="15" t="str">
        <f aca="false">IF(E290="","",E290+F290)</f>
        <v/>
      </c>
      <c r="H290" s="5"/>
      <c r="I290" s="5"/>
      <c r="J290" s="13"/>
      <c r="K290" s="5"/>
    </row>
    <row r="291" customFormat="false" ht="15" hidden="false" customHeight="false" outlineLevel="0" collapsed="false">
      <c r="A291" s="5"/>
      <c r="B291" s="13"/>
      <c r="C291" s="5"/>
      <c r="D291" s="5"/>
      <c r="E291" s="15"/>
      <c r="F291" s="15" t="str">
        <f aca="false">IF(E291="","",ROUND(E291*$N$1,2))</f>
        <v/>
      </c>
      <c r="G291" s="15" t="str">
        <f aca="false">IF(E291="","",E291+F291)</f>
        <v/>
      </c>
      <c r="H291" s="5"/>
      <c r="I291" s="5"/>
      <c r="J291" s="13"/>
      <c r="K291" s="5"/>
    </row>
    <row r="292" customFormat="false" ht="15" hidden="false" customHeight="false" outlineLevel="0" collapsed="false">
      <c r="A292" s="5"/>
      <c r="B292" s="13"/>
      <c r="C292" s="5"/>
      <c r="D292" s="5"/>
      <c r="E292" s="15"/>
      <c r="F292" s="15" t="str">
        <f aca="false">IF(E292="","",ROUND(E292*$N$1,2))</f>
        <v/>
      </c>
      <c r="G292" s="15" t="str">
        <f aca="false">IF(E292="","",E292+F292)</f>
        <v/>
      </c>
      <c r="H292" s="5"/>
      <c r="I292" s="5"/>
      <c r="J292" s="13"/>
      <c r="K292" s="5"/>
    </row>
    <row r="293" customFormat="false" ht="15" hidden="false" customHeight="false" outlineLevel="0" collapsed="false">
      <c r="A293" s="5"/>
      <c r="B293" s="13"/>
      <c r="C293" s="5"/>
      <c r="D293" s="5"/>
      <c r="E293" s="15"/>
      <c r="F293" s="15" t="str">
        <f aca="false">IF(E293="","",ROUND(E293*$N$1,2))</f>
        <v/>
      </c>
      <c r="G293" s="15" t="str">
        <f aca="false">IF(E293="","",E293+F293)</f>
        <v/>
      </c>
      <c r="H293" s="5"/>
      <c r="I293" s="5"/>
      <c r="J293" s="13"/>
      <c r="K293" s="5"/>
    </row>
    <row r="294" customFormat="false" ht="15" hidden="false" customHeight="false" outlineLevel="0" collapsed="false">
      <c r="A294" s="5"/>
      <c r="B294" s="13"/>
      <c r="C294" s="5"/>
      <c r="D294" s="5"/>
      <c r="E294" s="15"/>
      <c r="F294" s="15" t="str">
        <f aca="false">IF(E294="","",ROUND(E294*$N$1,2))</f>
        <v/>
      </c>
      <c r="G294" s="15" t="str">
        <f aca="false">IF(E294="","",E294+F294)</f>
        <v/>
      </c>
      <c r="H294" s="5"/>
      <c r="I294" s="5"/>
      <c r="J294" s="13"/>
      <c r="K294" s="5"/>
    </row>
    <row r="295" customFormat="false" ht="15" hidden="false" customHeight="false" outlineLevel="0" collapsed="false">
      <c r="A295" s="5"/>
      <c r="B295" s="13"/>
      <c r="C295" s="5"/>
      <c r="D295" s="5"/>
      <c r="E295" s="15"/>
      <c r="F295" s="15" t="str">
        <f aca="false">IF(E295="","",ROUND(E295*$N$1,2))</f>
        <v/>
      </c>
      <c r="G295" s="15" t="str">
        <f aca="false">IF(E295="","",E295+F295)</f>
        <v/>
      </c>
      <c r="H295" s="5"/>
      <c r="I295" s="5"/>
      <c r="J295" s="13"/>
      <c r="K295" s="5"/>
    </row>
    <row r="296" customFormat="false" ht="15" hidden="false" customHeight="false" outlineLevel="0" collapsed="false">
      <c r="A296" s="5"/>
      <c r="B296" s="13"/>
      <c r="C296" s="5"/>
      <c r="D296" s="5"/>
      <c r="E296" s="15"/>
      <c r="F296" s="15" t="str">
        <f aca="false">IF(E296="","",ROUND(E296*$N$1,2))</f>
        <v/>
      </c>
      <c r="G296" s="15" t="str">
        <f aca="false">IF(E296="","",E296+F296)</f>
        <v/>
      </c>
      <c r="H296" s="5"/>
      <c r="I296" s="5"/>
      <c r="J296" s="13"/>
      <c r="K296" s="5"/>
    </row>
    <row r="297" customFormat="false" ht="15" hidden="false" customHeight="false" outlineLevel="0" collapsed="false">
      <c r="A297" s="5"/>
      <c r="B297" s="13"/>
      <c r="C297" s="5"/>
      <c r="D297" s="5"/>
      <c r="E297" s="15"/>
      <c r="F297" s="15" t="str">
        <f aca="false">IF(E297="","",ROUND(E297*$N$1,2))</f>
        <v/>
      </c>
      <c r="G297" s="15" t="str">
        <f aca="false">IF(E297="","",E297+F297)</f>
        <v/>
      </c>
      <c r="H297" s="5"/>
      <c r="I297" s="5"/>
      <c r="J297" s="13"/>
      <c r="K297" s="5"/>
    </row>
    <row r="298" customFormat="false" ht="15" hidden="false" customHeight="false" outlineLevel="0" collapsed="false">
      <c r="A298" s="5"/>
      <c r="B298" s="13"/>
      <c r="C298" s="5"/>
      <c r="D298" s="5"/>
      <c r="E298" s="15"/>
      <c r="F298" s="15" t="str">
        <f aca="false">IF(E298="","",ROUND(E298*$N$1,2))</f>
        <v/>
      </c>
      <c r="G298" s="15" t="str">
        <f aca="false">IF(E298="","",E298+F298)</f>
        <v/>
      </c>
      <c r="H298" s="5"/>
      <c r="I298" s="5"/>
      <c r="J298" s="13"/>
      <c r="K298" s="5"/>
    </row>
    <row r="299" customFormat="false" ht="15" hidden="false" customHeight="false" outlineLevel="0" collapsed="false">
      <c r="A299" s="5"/>
      <c r="B299" s="13"/>
      <c r="C299" s="5"/>
      <c r="D299" s="5"/>
      <c r="E299" s="15"/>
      <c r="F299" s="15" t="str">
        <f aca="false">IF(E299="","",ROUND(E299*$N$1,2))</f>
        <v/>
      </c>
      <c r="G299" s="15" t="str">
        <f aca="false">IF(E299="","",E299+F299)</f>
        <v/>
      </c>
      <c r="H299" s="5"/>
      <c r="I299" s="5"/>
      <c r="J299" s="13"/>
      <c r="K299" s="5"/>
    </row>
    <row r="300" customFormat="false" ht="15" hidden="false" customHeight="false" outlineLevel="0" collapsed="false">
      <c r="A300" s="5"/>
      <c r="B300" s="13"/>
      <c r="C300" s="5"/>
      <c r="D300" s="5"/>
      <c r="E300" s="15"/>
      <c r="F300" s="15" t="str">
        <f aca="false">IF(E300="","",ROUND(E300*$N$1,2))</f>
        <v/>
      </c>
      <c r="G300" s="15" t="str">
        <f aca="false">IF(E300="","",E300+F300)</f>
        <v/>
      </c>
      <c r="H300" s="5"/>
      <c r="I300" s="5"/>
      <c r="J300" s="13"/>
      <c r="K300" s="5"/>
    </row>
    <row r="301" customFormat="false" ht="15" hidden="false" customHeight="false" outlineLevel="0" collapsed="false">
      <c r="A301" s="5"/>
      <c r="B301" s="13"/>
      <c r="C301" s="5"/>
      <c r="D301" s="5"/>
      <c r="E301" s="15"/>
      <c r="F301" s="15" t="str">
        <f aca="false">IF(E301="","",ROUND(E301*$N$1,2))</f>
        <v/>
      </c>
      <c r="G301" s="15" t="str">
        <f aca="false">IF(E301="","",E301+F301)</f>
        <v/>
      </c>
      <c r="H301" s="5"/>
      <c r="I301" s="5"/>
      <c r="J301" s="13"/>
      <c r="K301" s="5"/>
    </row>
  </sheetData>
  <autoFilter ref="A1:K301"/>
  <dataValidations count="2">
    <dataValidation allowBlank="true" errorStyle="stop" operator="between" showDropDown="false" showErrorMessage="false" showInputMessage="false" sqref="H2:H301" type="list">
      <formula1>Lists!$D$2:$D$5</formula1>
      <formula2>0</formula2>
    </dataValidation>
    <dataValidation allowBlank="true" errorStyle="stop" operator="between" showDropDown="false" showErrorMessage="false" showInputMessage="false" sqref="I2:I301" type="list">
      <formula1>Lists!$C$2:$C$4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7" min="7" style="0" width="9"/>
  </cols>
  <sheetData>
    <row r="1" customFormat="false" ht="30" hidden="false" customHeight="true" outlineLevel="0" collapsed="false">
      <c r="A1" s="10" t="s">
        <v>25</v>
      </c>
      <c r="B1" s="10" t="s">
        <v>53</v>
      </c>
      <c r="C1" s="10" t="s">
        <v>80</v>
      </c>
      <c r="D1" s="10" t="s">
        <v>59</v>
      </c>
      <c r="E1" s="10" t="s">
        <v>81</v>
      </c>
      <c r="F1" s="10" t="s">
        <v>82</v>
      </c>
      <c r="G1" s="10" t="s">
        <v>83</v>
      </c>
    </row>
    <row r="2" customFormat="false" ht="15" hidden="false" customHeight="false" outlineLevel="0" collapsed="false">
      <c r="A2" s="11" t="s">
        <v>39</v>
      </c>
      <c r="B2" s="11" t="str">
        <f aca="false">IF(A2="","",IFERROR(INDEX(Clients!$B:$B,MATCH(A2,Clients!$A:$A,0)),"Check client ID"))</f>
        <v>Example: Ravi Kumar</v>
      </c>
      <c r="C2" s="11" t="s">
        <v>84</v>
      </c>
      <c r="D2" s="12" t="n">
        <v>46371</v>
      </c>
      <c r="E2" s="12" t="n">
        <f aca="false">IF(D2="","",D2-14)</f>
        <v>46357</v>
      </c>
      <c r="F2" s="11" t="n">
        <f aca="true">IF(D2="","",D2-TODAY())</f>
        <v>72</v>
      </c>
      <c r="G2" s="11" t="s">
        <v>85</v>
      </c>
    </row>
    <row r="3" customFormat="false" ht="15" hidden="false" customHeight="false" outlineLevel="0" collapsed="false">
      <c r="A3" s="5"/>
      <c r="B3" s="5" t="str">
        <f aca="false">IF(A3="","",IFERROR(INDEX(Clients!$B:$B,MATCH(A3,Clients!$A:$A,0)),"Check client ID"))</f>
        <v/>
      </c>
      <c r="C3" s="5"/>
      <c r="D3" s="13"/>
      <c r="E3" s="13" t="str">
        <f aca="false">IF(D3="","",D3-14)</f>
        <v/>
      </c>
      <c r="F3" s="5" t="str">
        <f aca="true">IF(D3="","",D3-TODAY())</f>
        <v/>
      </c>
      <c r="G3" s="5"/>
    </row>
    <row r="4" customFormat="false" ht="15" hidden="false" customHeight="false" outlineLevel="0" collapsed="false">
      <c r="A4" s="5"/>
      <c r="B4" s="5" t="str">
        <f aca="false">IF(A4="","",IFERROR(INDEX(Clients!$B:$B,MATCH(A4,Clients!$A:$A,0)),"Check client ID"))</f>
        <v/>
      </c>
      <c r="C4" s="5"/>
      <c r="D4" s="13"/>
      <c r="E4" s="13" t="str">
        <f aca="false">IF(D4="","",D4-14)</f>
        <v/>
      </c>
      <c r="F4" s="5" t="str">
        <f aca="true">IF(D4="","",D4-TODAY())</f>
        <v/>
      </c>
      <c r="G4" s="5"/>
    </row>
    <row r="5" customFormat="false" ht="15" hidden="false" customHeight="false" outlineLevel="0" collapsed="false">
      <c r="A5" s="5"/>
      <c r="B5" s="5" t="str">
        <f aca="false">IF(A5="","",IFERROR(INDEX(Clients!$B:$B,MATCH(A5,Clients!$A:$A,0)),"Check client ID"))</f>
        <v/>
      </c>
      <c r="C5" s="5"/>
      <c r="D5" s="13"/>
      <c r="E5" s="13" t="str">
        <f aca="false">IF(D5="","",D5-14)</f>
        <v/>
      </c>
      <c r="F5" s="5" t="str">
        <f aca="true">IF(D5="","",D5-TODAY())</f>
        <v/>
      </c>
      <c r="G5" s="5"/>
    </row>
    <row r="6" customFormat="false" ht="15" hidden="false" customHeight="false" outlineLevel="0" collapsed="false">
      <c r="A6" s="5"/>
      <c r="B6" s="5" t="str">
        <f aca="false">IF(A6="","",IFERROR(INDEX(Clients!$B:$B,MATCH(A6,Clients!$A:$A,0)),"Check client ID"))</f>
        <v/>
      </c>
      <c r="C6" s="5"/>
      <c r="D6" s="13"/>
      <c r="E6" s="13" t="str">
        <f aca="false">IF(D6="","",D6-14)</f>
        <v/>
      </c>
      <c r="F6" s="5" t="str">
        <f aca="true">IF(D6="","",D6-TODAY())</f>
        <v/>
      </c>
      <c r="G6" s="5"/>
    </row>
    <row r="7" customFormat="false" ht="15" hidden="false" customHeight="false" outlineLevel="0" collapsed="false">
      <c r="A7" s="5"/>
      <c r="B7" s="5" t="str">
        <f aca="false">IF(A7="","",IFERROR(INDEX(Clients!$B:$B,MATCH(A7,Clients!$A:$A,0)),"Check client ID"))</f>
        <v/>
      </c>
      <c r="C7" s="5"/>
      <c r="D7" s="13"/>
      <c r="E7" s="13" t="str">
        <f aca="false">IF(D7="","",D7-14)</f>
        <v/>
      </c>
      <c r="F7" s="5" t="str">
        <f aca="true">IF(D7="","",D7-TODAY())</f>
        <v/>
      </c>
      <c r="G7" s="5"/>
    </row>
    <row r="8" customFormat="false" ht="15" hidden="false" customHeight="false" outlineLevel="0" collapsed="false">
      <c r="A8" s="5"/>
      <c r="B8" s="5" t="str">
        <f aca="false">IF(A8="","",IFERROR(INDEX(Clients!$B:$B,MATCH(A8,Clients!$A:$A,0)),"Check client ID"))</f>
        <v/>
      </c>
      <c r="C8" s="5"/>
      <c r="D8" s="13"/>
      <c r="E8" s="13" t="str">
        <f aca="false">IF(D8="","",D8-14)</f>
        <v/>
      </c>
      <c r="F8" s="5" t="str">
        <f aca="true">IF(D8="","",D8-TODAY())</f>
        <v/>
      </c>
      <c r="G8" s="5"/>
    </row>
    <row r="9" customFormat="false" ht="15" hidden="false" customHeight="false" outlineLevel="0" collapsed="false">
      <c r="A9" s="5"/>
      <c r="B9" s="5" t="str">
        <f aca="false">IF(A9="","",IFERROR(INDEX(Clients!$B:$B,MATCH(A9,Clients!$A:$A,0)),"Check client ID"))</f>
        <v/>
      </c>
      <c r="C9" s="5"/>
      <c r="D9" s="13"/>
      <c r="E9" s="13" t="str">
        <f aca="false">IF(D9="","",D9-14)</f>
        <v/>
      </c>
      <c r="F9" s="5" t="str">
        <f aca="true">IF(D9="","",D9-TODAY())</f>
        <v/>
      </c>
      <c r="G9" s="5"/>
    </row>
    <row r="10" customFormat="false" ht="15" hidden="false" customHeight="false" outlineLevel="0" collapsed="false">
      <c r="A10" s="5"/>
      <c r="B10" s="5" t="str">
        <f aca="false">IF(A10="","",IFERROR(INDEX(Clients!$B:$B,MATCH(A10,Clients!$A:$A,0)),"Check client ID"))</f>
        <v/>
      </c>
      <c r="C10" s="5"/>
      <c r="D10" s="13"/>
      <c r="E10" s="13" t="str">
        <f aca="false">IF(D10="","",D10-14)</f>
        <v/>
      </c>
      <c r="F10" s="5" t="str">
        <f aca="true">IF(D10="","",D10-TODAY())</f>
        <v/>
      </c>
      <c r="G10" s="5"/>
    </row>
    <row r="11" customFormat="false" ht="15" hidden="false" customHeight="false" outlineLevel="0" collapsed="false">
      <c r="A11" s="5"/>
      <c r="B11" s="5" t="str">
        <f aca="false">IF(A11="","",IFERROR(INDEX(Clients!$B:$B,MATCH(A11,Clients!$A:$A,0)),"Check client ID"))</f>
        <v/>
      </c>
      <c r="C11" s="5"/>
      <c r="D11" s="13"/>
      <c r="E11" s="13" t="str">
        <f aca="false">IF(D11="","",D11-14)</f>
        <v/>
      </c>
      <c r="F11" s="5" t="str">
        <f aca="true">IF(D11="","",D11-TODAY())</f>
        <v/>
      </c>
      <c r="G11" s="5"/>
    </row>
    <row r="12" customFormat="false" ht="15" hidden="false" customHeight="false" outlineLevel="0" collapsed="false">
      <c r="A12" s="5"/>
      <c r="B12" s="5" t="str">
        <f aca="false">IF(A12="","",IFERROR(INDEX(Clients!$B:$B,MATCH(A12,Clients!$A:$A,0)),"Check client ID"))</f>
        <v/>
      </c>
      <c r="C12" s="5"/>
      <c r="D12" s="13"/>
      <c r="E12" s="13" t="str">
        <f aca="false">IF(D12="","",D12-14)</f>
        <v/>
      </c>
      <c r="F12" s="5" t="str">
        <f aca="true">IF(D12="","",D12-TODAY())</f>
        <v/>
      </c>
      <c r="G12" s="5"/>
    </row>
    <row r="13" customFormat="false" ht="15" hidden="false" customHeight="false" outlineLevel="0" collapsed="false">
      <c r="A13" s="5"/>
      <c r="B13" s="5" t="str">
        <f aca="false">IF(A13="","",IFERROR(INDEX(Clients!$B:$B,MATCH(A13,Clients!$A:$A,0)),"Check client ID"))</f>
        <v/>
      </c>
      <c r="C13" s="5"/>
      <c r="D13" s="13"/>
      <c r="E13" s="13" t="str">
        <f aca="false">IF(D13="","",D13-14)</f>
        <v/>
      </c>
      <c r="F13" s="5" t="str">
        <f aca="true">IF(D13="","",D13-TODAY())</f>
        <v/>
      </c>
      <c r="G13" s="5"/>
    </row>
    <row r="14" customFormat="false" ht="15" hidden="false" customHeight="false" outlineLevel="0" collapsed="false">
      <c r="A14" s="5"/>
      <c r="B14" s="5" t="str">
        <f aca="false">IF(A14="","",IFERROR(INDEX(Clients!$B:$B,MATCH(A14,Clients!$A:$A,0)),"Check client ID"))</f>
        <v/>
      </c>
      <c r="C14" s="5"/>
      <c r="D14" s="13"/>
      <c r="E14" s="13" t="str">
        <f aca="false">IF(D14="","",D14-14)</f>
        <v/>
      </c>
      <c r="F14" s="5" t="str">
        <f aca="true">IF(D14="","",D14-TODAY())</f>
        <v/>
      </c>
      <c r="G14" s="5"/>
    </row>
    <row r="15" customFormat="false" ht="15" hidden="false" customHeight="false" outlineLevel="0" collapsed="false">
      <c r="A15" s="5"/>
      <c r="B15" s="5" t="str">
        <f aca="false">IF(A15="","",IFERROR(INDEX(Clients!$B:$B,MATCH(A15,Clients!$A:$A,0)),"Check client ID"))</f>
        <v/>
      </c>
      <c r="C15" s="5"/>
      <c r="D15" s="13"/>
      <c r="E15" s="13" t="str">
        <f aca="false">IF(D15="","",D15-14)</f>
        <v/>
      </c>
      <c r="F15" s="5" t="str">
        <f aca="true">IF(D15="","",D15-TODAY())</f>
        <v/>
      </c>
      <c r="G15" s="5"/>
    </row>
    <row r="16" customFormat="false" ht="15" hidden="false" customHeight="false" outlineLevel="0" collapsed="false">
      <c r="A16" s="5"/>
      <c r="B16" s="5" t="str">
        <f aca="false">IF(A16="","",IFERROR(INDEX(Clients!$B:$B,MATCH(A16,Clients!$A:$A,0)),"Check client ID"))</f>
        <v/>
      </c>
      <c r="C16" s="5"/>
      <c r="D16" s="13"/>
      <c r="E16" s="13" t="str">
        <f aca="false">IF(D16="","",D16-14)</f>
        <v/>
      </c>
      <c r="F16" s="5" t="str">
        <f aca="true">IF(D16="","",D16-TODAY())</f>
        <v/>
      </c>
      <c r="G16" s="5"/>
    </row>
    <row r="17" customFormat="false" ht="15" hidden="false" customHeight="false" outlineLevel="0" collapsed="false">
      <c r="A17" s="5"/>
      <c r="B17" s="5" t="str">
        <f aca="false">IF(A17="","",IFERROR(INDEX(Clients!$B:$B,MATCH(A17,Clients!$A:$A,0)),"Check client ID"))</f>
        <v/>
      </c>
      <c r="C17" s="5"/>
      <c r="D17" s="13"/>
      <c r="E17" s="13" t="str">
        <f aca="false">IF(D17="","",D17-14)</f>
        <v/>
      </c>
      <c r="F17" s="5" t="str">
        <f aca="true">IF(D17="","",D17-TODAY())</f>
        <v/>
      </c>
      <c r="G17" s="5"/>
    </row>
    <row r="18" customFormat="false" ht="15" hidden="false" customHeight="false" outlineLevel="0" collapsed="false">
      <c r="A18" s="5"/>
      <c r="B18" s="5" t="str">
        <f aca="false">IF(A18="","",IFERROR(INDEX(Clients!$B:$B,MATCH(A18,Clients!$A:$A,0)),"Check client ID"))</f>
        <v/>
      </c>
      <c r="C18" s="5"/>
      <c r="D18" s="13"/>
      <c r="E18" s="13" t="str">
        <f aca="false">IF(D18="","",D18-14)</f>
        <v/>
      </c>
      <c r="F18" s="5" t="str">
        <f aca="true">IF(D18="","",D18-TODAY())</f>
        <v/>
      </c>
      <c r="G18" s="5"/>
    </row>
    <row r="19" customFormat="false" ht="15" hidden="false" customHeight="false" outlineLevel="0" collapsed="false">
      <c r="A19" s="5"/>
      <c r="B19" s="5" t="str">
        <f aca="false">IF(A19="","",IFERROR(INDEX(Clients!$B:$B,MATCH(A19,Clients!$A:$A,0)),"Check client ID"))</f>
        <v/>
      </c>
      <c r="C19" s="5"/>
      <c r="D19" s="13"/>
      <c r="E19" s="13" t="str">
        <f aca="false">IF(D19="","",D19-14)</f>
        <v/>
      </c>
      <c r="F19" s="5" t="str">
        <f aca="true">IF(D19="","",D19-TODAY())</f>
        <v/>
      </c>
      <c r="G19" s="5"/>
    </row>
    <row r="20" customFormat="false" ht="15" hidden="false" customHeight="false" outlineLevel="0" collapsed="false">
      <c r="A20" s="5"/>
      <c r="B20" s="5" t="str">
        <f aca="false">IF(A20="","",IFERROR(INDEX(Clients!$B:$B,MATCH(A20,Clients!$A:$A,0)),"Check client ID"))</f>
        <v/>
      </c>
      <c r="C20" s="5"/>
      <c r="D20" s="13"/>
      <c r="E20" s="13" t="str">
        <f aca="false">IF(D20="","",D20-14)</f>
        <v/>
      </c>
      <c r="F20" s="5" t="str">
        <f aca="true">IF(D20="","",D20-TODAY())</f>
        <v/>
      </c>
      <c r="G20" s="5"/>
    </row>
    <row r="21" customFormat="false" ht="15" hidden="false" customHeight="false" outlineLevel="0" collapsed="false">
      <c r="A21" s="5"/>
      <c r="B21" s="5" t="str">
        <f aca="false">IF(A21="","",IFERROR(INDEX(Clients!$B:$B,MATCH(A21,Clients!$A:$A,0)),"Check client ID"))</f>
        <v/>
      </c>
      <c r="C21" s="5"/>
      <c r="D21" s="13"/>
      <c r="E21" s="13" t="str">
        <f aca="false">IF(D21="","",D21-14)</f>
        <v/>
      </c>
      <c r="F21" s="5" t="str">
        <f aca="true">IF(D21="","",D21-TODAY())</f>
        <v/>
      </c>
      <c r="G21" s="5"/>
    </row>
    <row r="22" customFormat="false" ht="15" hidden="false" customHeight="false" outlineLevel="0" collapsed="false">
      <c r="A22" s="5"/>
      <c r="B22" s="5" t="str">
        <f aca="false">IF(A22="","",IFERROR(INDEX(Clients!$B:$B,MATCH(A22,Clients!$A:$A,0)),"Check client ID"))</f>
        <v/>
      </c>
      <c r="C22" s="5"/>
      <c r="D22" s="13"/>
      <c r="E22" s="13" t="str">
        <f aca="false">IF(D22="","",D22-14)</f>
        <v/>
      </c>
      <c r="F22" s="5" t="str">
        <f aca="true">IF(D22="","",D22-TODAY())</f>
        <v/>
      </c>
      <c r="G22" s="5"/>
    </row>
    <row r="23" customFormat="false" ht="15" hidden="false" customHeight="false" outlineLevel="0" collapsed="false">
      <c r="A23" s="5"/>
      <c r="B23" s="5" t="str">
        <f aca="false">IF(A23="","",IFERROR(INDEX(Clients!$B:$B,MATCH(A23,Clients!$A:$A,0)),"Check client ID"))</f>
        <v/>
      </c>
      <c r="C23" s="5"/>
      <c r="D23" s="13"/>
      <c r="E23" s="13" t="str">
        <f aca="false">IF(D23="","",D23-14)</f>
        <v/>
      </c>
      <c r="F23" s="5" t="str">
        <f aca="true">IF(D23="","",D23-TODAY())</f>
        <v/>
      </c>
      <c r="G23" s="5"/>
    </row>
    <row r="24" customFormat="false" ht="15" hidden="false" customHeight="false" outlineLevel="0" collapsed="false">
      <c r="A24" s="5"/>
      <c r="B24" s="5" t="str">
        <f aca="false">IF(A24="","",IFERROR(INDEX(Clients!$B:$B,MATCH(A24,Clients!$A:$A,0)),"Check client ID"))</f>
        <v/>
      </c>
      <c r="C24" s="5"/>
      <c r="D24" s="13"/>
      <c r="E24" s="13" t="str">
        <f aca="false">IF(D24="","",D24-14)</f>
        <v/>
      </c>
      <c r="F24" s="5" t="str">
        <f aca="true">IF(D24="","",D24-TODAY())</f>
        <v/>
      </c>
      <c r="G24" s="5"/>
    </row>
    <row r="25" customFormat="false" ht="15" hidden="false" customHeight="false" outlineLevel="0" collapsed="false">
      <c r="A25" s="5"/>
      <c r="B25" s="5" t="str">
        <f aca="false">IF(A25="","",IFERROR(INDEX(Clients!$B:$B,MATCH(A25,Clients!$A:$A,0)),"Check client ID"))</f>
        <v/>
      </c>
      <c r="C25" s="5"/>
      <c r="D25" s="13"/>
      <c r="E25" s="13" t="str">
        <f aca="false">IF(D25="","",D25-14)</f>
        <v/>
      </c>
      <c r="F25" s="5" t="str">
        <f aca="true">IF(D25="","",D25-TODAY())</f>
        <v/>
      </c>
      <c r="G25" s="5"/>
    </row>
    <row r="26" customFormat="false" ht="15" hidden="false" customHeight="false" outlineLevel="0" collapsed="false">
      <c r="A26" s="5"/>
      <c r="B26" s="5" t="str">
        <f aca="false">IF(A26="","",IFERROR(INDEX(Clients!$B:$B,MATCH(A26,Clients!$A:$A,0)),"Check client ID"))</f>
        <v/>
      </c>
      <c r="C26" s="5"/>
      <c r="D26" s="13"/>
      <c r="E26" s="13" t="str">
        <f aca="false">IF(D26="","",D26-14)</f>
        <v/>
      </c>
      <c r="F26" s="5" t="str">
        <f aca="true">IF(D26="","",D26-TODAY())</f>
        <v/>
      </c>
      <c r="G26" s="5"/>
    </row>
    <row r="27" customFormat="false" ht="15" hidden="false" customHeight="false" outlineLevel="0" collapsed="false">
      <c r="A27" s="5"/>
      <c r="B27" s="5" t="str">
        <f aca="false">IF(A27="","",IFERROR(INDEX(Clients!$B:$B,MATCH(A27,Clients!$A:$A,0)),"Check client ID"))</f>
        <v/>
      </c>
      <c r="C27" s="5"/>
      <c r="D27" s="13"/>
      <c r="E27" s="13" t="str">
        <f aca="false">IF(D27="","",D27-14)</f>
        <v/>
      </c>
      <c r="F27" s="5" t="str">
        <f aca="true">IF(D27="","",D27-TODAY())</f>
        <v/>
      </c>
      <c r="G27" s="5"/>
    </row>
    <row r="28" customFormat="false" ht="15" hidden="false" customHeight="false" outlineLevel="0" collapsed="false">
      <c r="A28" s="5"/>
      <c r="B28" s="5" t="str">
        <f aca="false">IF(A28="","",IFERROR(INDEX(Clients!$B:$B,MATCH(A28,Clients!$A:$A,0)),"Check client ID"))</f>
        <v/>
      </c>
      <c r="C28" s="5"/>
      <c r="D28" s="13"/>
      <c r="E28" s="13" t="str">
        <f aca="false">IF(D28="","",D28-14)</f>
        <v/>
      </c>
      <c r="F28" s="5" t="str">
        <f aca="true">IF(D28="","",D28-TODAY())</f>
        <v/>
      </c>
      <c r="G28" s="5"/>
    </row>
    <row r="29" customFormat="false" ht="15" hidden="false" customHeight="false" outlineLevel="0" collapsed="false">
      <c r="A29" s="5"/>
      <c r="B29" s="5" t="str">
        <f aca="false">IF(A29="","",IFERROR(INDEX(Clients!$B:$B,MATCH(A29,Clients!$A:$A,0)),"Check client ID"))</f>
        <v/>
      </c>
      <c r="C29" s="5"/>
      <c r="D29" s="13"/>
      <c r="E29" s="13" t="str">
        <f aca="false">IF(D29="","",D29-14)</f>
        <v/>
      </c>
      <c r="F29" s="5" t="str">
        <f aca="true">IF(D29="","",D29-TODAY())</f>
        <v/>
      </c>
      <c r="G29" s="5"/>
    </row>
    <row r="30" customFormat="false" ht="15" hidden="false" customHeight="false" outlineLevel="0" collapsed="false">
      <c r="A30" s="5"/>
      <c r="B30" s="5" t="str">
        <f aca="false">IF(A30="","",IFERROR(INDEX(Clients!$B:$B,MATCH(A30,Clients!$A:$A,0)),"Check client ID"))</f>
        <v/>
      </c>
      <c r="C30" s="5"/>
      <c r="D30" s="13"/>
      <c r="E30" s="13" t="str">
        <f aca="false">IF(D30="","",D30-14)</f>
        <v/>
      </c>
      <c r="F30" s="5" t="str">
        <f aca="true">IF(D30="","",D30-TODAY())</f>
        <v/>
      </c>
      <c r="G30" s="5"/>
    </row>
    <row r="31" customFormat="false" ht="15" hidden="false" customHeight="false" outlineLevel="0" collapsed="false">
      <c r="A31" s="5"/>
      <c r="B31" s="5" t="str">
        <f aca="false">IF(A31="","",IFERROR(INDEX(Clients!$B:$B,MATCH(A31,Clients!$A:$A,0)),"Check client ID"))</f>
        <v/>
      </c>
      <c r="C31" s="5"/>
      <c r="D31" s="13"/>
      <c r="E31" s="13" t="str">
        <f aca="false">IF(D31="","",D31-14)</f>
        <v/>
      </c>
      <c r="F31" s="5" t="str">
        <f aca="true">IF(D31="","",D31-TODAY())</f>
        <v/>
      </c>
      <c r="G31" s="5"/>
    </row>
    <row r="32" customFormat="false" ht="15" hidden="false" customHeight="false" outlineLevel="0" collapsed="false">
      <c r="A32" s="5"/>
      <c r="B32" s="5" t="str">
        <f aca="false">IF(A32="","",IFERROR(INDEX(Clients!$B:$B,MATCH(A32,Clients!$A:$A,0)),"Check client ID"))</f>
        <v/>
      </c>
      <c r="C32" s="5"/>
      <c r="D32" s="13"/>
      <c r="E32" s="13" t="str">
        <f aca="false">IF(D32="","",D32-14)</f>
        <v/>
      </c>
      <c r="F32" s="5" t="str">
        <f aca="true">IF(D32="","",D32-TODAY())</f>
        <v/>
      </c>
      <c r="G32" s="5"/>
    </row>
    <row r="33" customFormat="false" ht="15" hidden="false" customHeight="false" outlineLevel="0" collapsed="false">
      <c r="A33" s="5"/>
      <c r="B33" s="5" t="str">
        <f aca="false">IF(A33="","",IFERROR(INDEX(Clients!$B:$B,MATCH(A33,Clients!$A:$A,0)),"Check client ID"))</f>
        <v/>
      </c>
      <c r="C33" s="5"/>
      <c r="D33" s="13"/>
      <c r="E33" s="13" t="str">
        <f aca="false">IF(D33="","",D33-14)</f>
        <v/>
      </c>
      <c r="F33" s="5" t="str">
        <f aca="true">IF(D33="","",D33-TODAY())</f>
        <v/>
      </c>
      <c r="G33" s="5"/>
    </row>
    <row r="34" customFormat="false" ht="15" hidden="false" customHeight="false" outlineLevel="0" collapsed="false">
      <c r="A34" s="5"/>
      <c r="B34" s="5" t="str">
        <f aca="false">IF(A34="","",IFERROR(INDEX(Clients!$B:$B,MATCH(A34,Clients!$A:$A,0)),"Check client ID"))</f>
        <v/>
      </c>
      <c r="C34" s="5"/>
      <c r="D34" s="13"/>
      <c r="E34" s="13" t="str">
        <f aca="false">IF(D34="","",D34-14)</f>
        <v/>
      </c>
      <c r="F34" s="5" t="str">
        <f aca="true">IF(D34="","",D34-TODAY())</f>
        <v/>
      </c>
      <c r="G34" s="5"/>
    </row>
    <row r="35" customFormat="false" ht="15" hidden="false" customHeight="false" outlineLevel="0" collapsed="false">
      <c r="A35" s="5"/>
      <c r="B35" s="5" t="str">
        <f aca="false">IF(A35="","",IFERROR(INDEX(Clients!$B:$B,MATCH(A35,Clients!$A:$A,0)),"Check client ID"))</f>
        <v/>
      </c>
      <c r="C35" s="5"/>
      <c r="D35" s="13"/>
      <c r="E35" s="13" t="str">
        <f aca="false">IF(D35="","",D35-14)</f>
        <v/>
      </c>
      <c r="F35" s="5" t="str">
        <f aca="true">IF(D35="","",D35-TODAY())</f>
        <v/>
      </c>
      <c r="G35" s="5"/>
    </row>
    <row r="36" customFormat="false" ht="15" hidden="false" customHeight="false" outlineLevel="0" collapsed="false">
      <c r="A36" s="5"/>
      <c r="B36" s="5" t="str">
        <f aca="false">IF(A36="","",IFERROR(INDEX(Clients!$B:$B,MATCH(A36,Clients!$A:$A,0)),"Check client ID"))</f>
        <v/>
      </c>
      <c r="C36" s="5"/>
      <c r="D36" s="13"/>
      <c r="E36" s="13" t="str">
        <f aca="false">IF(D36="","",D36-14)</f>
        <v/>
      </c>
      <c r="F36" s="5" t="str">
        <f aca="true">IF(D36="","",D36-TODAY())</f>
        <v/>
      </c>
      <c r="G36" s="5"/>
    </row>
    <row r="37" customFormat="false" ht="15" hidden="false" customHeight="false" outlineLevel="0" collapsed="false">
      <c r="A37" s="5"/>
      <c r="B37" s="5" t="str">
        <f aca="false">IF(A37="","",IFERROR(INDEX(Clients!$B:$B,MATCH(A37,Clients!$A:$A,0)),"Check client ID"))</f>
        <v/>
      </c>
      <c r="C37" s="5"/>
      <c r="D37" s="13"/>
      <c r="E37" s="13" t="str">
        <f aca="false">IF(D37="","",D37-14)</f>
        <v/>
      </c>
      <c r="F37" s="5" t="str">
        <f aca="true">IF(D37="","",D37-TODAY())</f>
        <v/>
      </c>
      <c r="G37" s="5"/>
    </row>
    <row r="38" customFormat="false" ht="15" hidden="false" customHeight="false" outlineLevel="0" collapsed="false">
      <c r="A38" s="5"/>
      <c r="B38" s="5" t="str">
        <f aca="false">IF(A38="","",IFERROR(INDEX(Clients!$B:$B,MATCH(A38,Clients!$A:$A,0)),"Check client ID"))</f>
        <v/>
      </c>
      <c r="C38" s="5"/>
      <c r="D38" s="13"/>
      <c r="E38" s="13" t="str">
        <f aca="false">IF(D38="","",D38-14)</f>
        <v/>
      </c>
      <c r="F38" s="5" t="str">
        <f aca="true">IF(D38="","",D38-TODAY())</f>
        <v/>
      </c>
      <c r="G38" s="5"/>
    </row>
    <row r="39" customFormat="false" ht="15" hidden="false" customHeight="false" outlineLevel="0" collapsed="false">
      <c r="A39" s="5"/>
      <c r="B39" s="5" t="str">
        <f aca="false">IF(A39="","",IFERROR(INDEX(Clients!$B:$B,MATCH(A39,Clients!$A:$A,0)),"Check client ID"))</f>
        <v/>
      </c>
      <c r="C39" s="5"/>
      <c r="D39" s="13"/>
      <c r="E39" s="13" t="str">
        <f aca="false">IF(D39="","",D39-14)</f>
        <v/>
      </c>
      <c r="F39" s="5" t="str">
        <f aca="true">IF(D39="","",D39-TODAY())</f>
        <v/>
      </c>
      <c r="G39" s="5"/>
    </row>
    <row r="40" customFormat="false" ht="15" hidden="false" customHeight="false" outlineLevel="0" collapsed="false">
      <c r="A40" s="5"/>
      <c r="B40" s="5" t="str">
        <f aca="false">IF(A40="","",IFERROR(INDEX(Clients!$B:$B,MATCH(A40,Clients!$A:$A,0)),"Check client ID"))</f>
        <v/>
      </c>
      <c r="C40" s="5"/>
      <c r="D40" s="13"/>
      <c r="E40" s="13" t="str">
        <f aca="false">IF(D40="","",D40-14)</f>
        <v/>
      </c>
      <c r="F40" s="5" t="str">
        <f aca="true">IF(D40="","",D40-TODAY())</f>
        <v/>
      </c>
      <c r="G40" s="5"/>
    </row>
    <row r="41" customFormat="false" ht="15" hidden="false" customHeight="false" outlineLevel="0" collapsed="false">
      <c r="A41" s="5"/>
      <c r="B41" s="5" t="str">
        <f aca="false">IF(A41="","",IFERROR(INDEX(Clients!$B:$B,MATCH(A41,Clients!$A:$A,0)),"Check client ID"))</f>
        <v/>
      </c>
      <c r="C41" s="5"/>
      <c r="D41" s="13"/>
      <c r="E41" s="13" t="str">
        <f aca="false">IF(D41="","",D41-14)</f>
        <v/>
      </c>
      <c r="F41" s="5" t="str">
        <f aca="true">IF(D41="","",D41-TODAY())</f>
        <v/>
      </c>
      <c r="G41" s="5"/>
    </row>
    <row r="42" customFormat="false" ht="15" hidden="false" customHeight="false" outlineLevel="0" collapsed="false">
      <c r="A42" s="5"/>
      <c r="B42" s="5" t="str">
        <f aca="false">IF(A42="","",IFERROR(INDEX(Clients!$B:$B,MATCH(A42,Clients!$A:$A,0)),"Check client ID"))</f>
        <v/>
      </c>
      <c r="C42" s="5"/>
      <c r="D42" s="13"/>
      <c r="E42" s="13" t="str">
        <f aca="false">IF(D42="","",D42-14)</f>
        <v/>
      </c>
      <c r="F42" s="5" t="str">
        <f aca="true">IF(D42="","",D42-TODAY())</f>
        <v/>
      </c>
      <c r="G42" s="5"/>
    </row>
    <row r="43" customFormat="false" ht="15" hidden="false" customHeight="false" outlineLevel="0" collapsed="false">
      <c r="A43" s="5"/>
      <c r="B43" s="5" t="str">
        <f aca="false">IF(A43="","",IFERROR(INDEX(Clients!$B:$B,MATCH(A43,Clients!$A:$A,0)),"Check client ID"))</f>
        <v/>
      </c>
      <c r="C43" s="5"/>
      <c r="D43" s="13"/>
      <c r="E43" s="13" t="str">
        <f aca="false">IF(D43="","",D43-14)</f>
        <v/>
      </c>
      <c r="F43" s="5" t="str">
        <f aca="true">IF(D43="","",D43-TODAY())</f>
        <v/>
      </c>
      <c r="G43" s="5"/>
    </row>
    <row r="44" customFormat="false" ht="15" hidden="false" customHeight="false" outlineLevel="0" collapsed="false">
      <c r="A44" s="5"/>
      <c r="B44" s="5" t="str">
        <f aca="false">IF(A44="","",IFERROR(INDEX(Clients!$B:$B,MATCH(A44,Clients!$A:$A,0)),"Check client ID"))</f>
        <v/>
      </c>
      <c r="C44" s="5"/>
      <c r="D44" s="13"/>
      <c r="E44" s="13" t="str">
        <f aca="false">IF(D44="","",D44-14)</f>
        <v/>
      </c>
      <c r="F44" s="5" t="str">
        <f aca="true">IF(D44="","",D44-TODAY())</f>
        <v/>
      </c>
      <c r="G44" s="5"/>
    </row>
    <row r="45" customFormat="false" ht="15" hidden="false" customHeight="false" outlineLevel="0" collapsed="false">
      <c r="A45" s="5"/>
      <c r="B45" s="5" t="str">
        <f aca="false">IF(A45="","",IFERROR(INDEX(Clients!$B:$B,MATCH(A45,Clients!$A:$A,0)),"Check client ID"))</f>
        <v/>
      </c>
      <c r="C45" s="5"/>
      <c r="D45" s="13"/>
      <c r="E45" s="13" t="str">
        <f aca="false">IF(D45="","",D45-14)</f>
        <v/>
      </c>
      <c r="F45" s="5" t="str">
        <f aca="true">IF(D45="","",D45-TODAY())</f>
        <v/>
      </c>
      <c r="G45" s="5"/>
    </row>
    <row r="46" customFormat="false" ht="15" hidden="false" customHeight="false" outlineLevel="0" collapsed="false">
      <c r="A46" s="5"/>
      <c r="B46" s="5" t="str">
        <f aca="false">IF(A46="","",IFERROR(INDEX(Clients!$B:$B,MATCH(A46,Clients!$A:$A,0)),"Check client ID"))</f>
        <v/>
      </c>
      <c r="C46" s="5"/>
      <c r="D46" s="13"/>
      <c r="E46" s="13" t="str">
        <f aca="false">IF(D46="","",D46-14)</f>
        <v/>
      </c>
      <c r="F46" s="5" t="str">
        <f aca="true">IF(D46="","",D46-TODAY())</f>
        <v/>
      </c>
      <c r="G46" s="5"/>
    </row>
    <row r="47" customFormat="false" ht="15" hidden="false" customHeight="false" outlineLevel="0" collapsed="false">
      <c r="A47" s="5"/>
      <c r="B47" s="5" t="str">
        <f aca="false">IF(A47="","",IFERROR(INDEX(Clients!$B:$B,MATCH(A47,Clients!$A:$A,0)),"Check client ID"))</f>
        <v/>
      </c>
      <c r="C47" s="5"/>
      <c r="D47" s="13"/>
      <c r="E47" s="13" t="str">
        <f aca="false">IF(D47="","",D47-14)</f>
        <v/>
      </c>
      <c r="F47" s="5" t="str">
        <f aca="true">IF(D47="","",D47-TODAY())</f>
        <v/>
      </c>
      <c r="G47" s="5"/>
    </row>
    <row r="48" customFormat="false" ht="15" hidden="false" customHeight="false" outlineLevel="0" collapsed="false">
      <c r="A48" s="5"/>
      <c r="B48" s="5" t="str">
        <f aca="false">IF(A48="","",IFERROR(INDEX(Clients!$B:$B,MATCH(A48,Clients!$A:$A,0)),"Check client ID"))</f>
        <v/>
      </c>
      <c r="C48" s="5"/>
      <c r="D48" s="13"/>
      <c r="E48" s="13" t="str">
        <f aca="false">IF(D48="","",D48-14)</f>
        <v/>
      </c>
      <c r="F48" s="5" t="str">
        <f aca="true">IF(D48="","",D48-TODAY())</f>
        <v/>
      </c>
      <c r="G48" s="5"/>
    </row>
    <row r="49" customFormat="false" ht="15" hidden="false" customHeight="false" outlineLevel="0" collapsed="false">
      <c r="A49" s="5"/>
      <c r="B49" s="5" t="str">
        <f aca="false">IF(A49="","",IFERROR(INDEX(Clients!$B:$B,MATCH(A49,Clients!$A:$A,0)),"Check client ID"))</f>
        <v/>
      </c>
      <c r="C49" s="5"/>
      <c r="D49" s="13"/>
      <c r="E49" s="13" t="str">
        <f aca="false">IF(D49="","",D49-14)</f>
        <v/>
      </c>
      <c r="F49" s="5" t="str">
        <f aca="true">IF(D49="","",D49-TODAY())</f>
        <v/>
      </c>
      <c r="G49" s="5"/>
    </row>
    <row r="50" customFormat="false" ht="15" hidden="false" customHeight="false" outlineLevel="0" collapsed="false">
      <c r="A50" s="5"/>
      <c r="B50" s="5" t="str">
        <f aca="false">IF(A50="","",IFERROR(INDEX(Clients!$B:$B,MATCH(A50,Clients!$A:$A,0)),"Check client ID"))</f>
        <v/>
      </c>
      <c r="C50" s="5"/>
      <c r="D50" s="13"/>
      <c r="E50" s="13" t="str">
        <f aca="false">IF(D50="","",D50-14)</f>
        <v/>
      </c>
      <c r="F50" s="5" t="str">
        <f aca="true">IF(D50="","",D50-TODAY())</f>
        <v/>
      </c>
      <c r="G50" s="5"/>
    </row>
    <row r="51" customFormat="false" ht="15" hidden="false" customHeight="false" outlineLevel="0" collapsed="false">
      <c r="A51" s="5"/>
      <c r="B51" s="5" t="str">
        <f aca="false">IF(A51="","",IFERROR(INDEX(Clients!$B:$B,MATCH(A51,Clients!$A:$A,0)),"Check client ID"))</f>
        <v/>
      </c>
      <c r="C51" s="5"/>
      <c r="D51" s="13"/>
      <c r="E51" s="13" t="str">
        <f aca="false">IF(D51="","",D51-14)</f>
        <v/>
      </c>
      <c r="F51" s="5" t="str">
        <f aca="true">IF(D51="","",D51-TODAY())</f>
        <v/>
      </c>
      <c r="G51" s="5"/>
    </row>
    <row r="52" customFormat="false" ht="15" hidden="false" customHeight="false" outlineLevel="0" collapsed="false">
      <c r="A52" s="5"/>
      <c r="B52" s="5" t="str">
        <f aca="false">IF(A52="","",IFERROR(INDEX(Clients!$B:$B,MATCH(A52,Clients!$A:$A,0)),"Check client ID"))</f>
        <v/>
      </c>
      <c r="C52" s="5"/>
      <c r="D52" s="13"/>
      <c r="E52" s="13" t="str">
        <f aca="false">IF(D52="","",D52-14)</f>
        <v/>
      </c>
      <c r="F52" s="5" t="str">
        <f aca="true">IF(D52="","",D52-TODAY())</f>
        <v/>
      </c>
      <c r="G52" s="5"/>
    </row>
    <row r="53" customFormat="false" ht="15" hidden="false" customHeight="false" outlineLevel="0" collapsed="false">
      <c r="A53" s="5"/>
      <c r="B53" s="5" t="str">
        <f aca="false">IF(A53="","",IFERROR(INDEX(Clients!$B:$B,MATCH(A53,Clients!$A:$A,0)),"Check client ID"))</f>
        <v/>
      </c>
      <c r="C53" s="5"/>
      <c r="D53" s="13"/>
      <c r="E53" s="13" t="str">
        <f aca="false">IF(D53="","",D53-14)</f>
        <v/>
      </c>
      <c r="F53" s="5" t="str">
        <f aca="true">IF(D53="","",D53-TODAY())</f>
        <v/>
      </c>
      <c r="G53" s="5"/>
    </row>
    <row r="54" customFormat="false" ht="15" hidden="false" customHeight="false" outlineLevel="0" collapsed="false">
      <c r="A54" s="5"/>
      <c r="B54" s="5" t="str">
        <f aca="false">IF(A54="","",IFERROR(INDEX(Clients!$B:$B,MATCH(A54,Clients!$A:$A,0)),"Check client ID"))</f>
        <v/>
      </c>
      <c r="C54" s="5"/>
      <c r="D54" s="13"/>
      <c r="E54" s="13" t="str">
        <f aca="false">IF(D54="","",D54-14)</f>
        <v/>
      </c>
      <c r="F54" s="5" t="str">
        <f aca="true">IF(D54="","",D54-TODAY())</f>
        <v/>
      </c>
      <c r="G54" s="5"/>
    </row>
    <row r="55" customFormat="false" ht="15" hidden="false" customHeight="false" outlineLevel="0" collapsed="false">
      <c r="A55" s="5"/>
      <c r="B55" s="5" t="str">
        <f aca="false">IF(A55="","",IFERROR(INDEX(Clients!$B:$B,MATCH(A55,Clients!$A:$A,0)),"Check client ID"))</f>
        <v/>
      </c>
      <c r="C55" s="5"/>
      <c r="D55" s="13"/>
      <c r="E55" s="13" t="str">
        <f aca="false">IF(D55="","",D55-14)</f>
        <v/>
      </c>
      <c r="F55" s="5" t="str">
        <f aca="true">IF(D55="","",D55-TODAY())</f>
        <v/>
      </c>
      <c r="G55" s="5"/>
    </row>
    <row r="56" customFormat="false" ht="15" hidden="false" customHeight="false" outlineLevel="0" collapsed="false">
      <c r="A56" s="5"/>
      <c r="B56" s="5" t="str">
        <f aca="false">IF(A56="","",IFERROR(INDEX(Clients!$B:$B,MATCH(A56,Clients!$A:$A,0)),"Check client ID"))</f>
        <v/>
      </c>
      <c r="C56" s="5"/>
      <c r="D56" s="13"/>
      <c r="E56" s="13" t="str">
        <f aca="false">IF(D56="","",D56-14)</f>
        <v/>
      </c>
      <c r="F56" s="5" t="str">
        <f aca="true">IF(D56="","",D56-TODAY())</f>
        <v/>
      </c>
      <c r="G56" s="5"/>
    </row>
    <row r="57" customFormat="false" ht="15" hidden="false" customHeight="false" outlineLevel="0" collapsed="false">
      <c r="A57" s="5"/>
      <c r="B57" s="5" t="str">
        <f aca="false">IF(A57="","",IFERROR(INDEX(Clients!$B:$B,MATCH(A57,Clients!$A:$A,0)),"Check client ID"))</f>
        <v/>
      </c>
      <c r="C57" s="5"/>
      <c r="D57" s="13"/>
      <c r="E57" s="13" t="str">
        <f aca="false">IF(D57="","",D57-14)</f>
        <v/>
      </c>
      <c r="F57" s="5" t="str">
        <f aca="true">IF(D57="","",D57-TODAY())</f>
        <v/>
      </c>
      <c r="G57" s="5"/>
    </row>
    <row r="58" customFormat="false" ht="15" hidden="false" customHeight="false" outlineLevel="0" collapsed="false">
      <c r="A58" s="5"/>
      <c r="B58" s="5" t="str">
        <f aca="false">IF(A58="","",IFERROR(INDEX(Clients!$B:$B,MATCH(A58,Clients!$A:$A,0)),"Check client ID"))</f>
        <v/>
      </c>
      <c r="C58" s="5"/>
      <c r="D58" s="13"/>
      <c r="E58" s="13" t="str">
        <f aca="false">IF(D58="","",D58-14)</f>
        <v/>
      </c>
      <c r="F58" s="5" t="str">
        <f aca="true">IF(D58="","",D58-TODAY())</f>
        <v/>
      </c>
      <c r="G58" s="5"/>
    </row>
    <row r="59" customFormat="false" ht="15" hidden="false" customHeight="false" outlineLevel="0" collapsed="false">
      <c r="A59" s="5"/>
      <c r="B59" s="5" t="str">
        <f aca="false">IF(A59="","",IFERROR(INDEX(Clients!$B:$B,MATCH(A59,Clients!$A:$A,0)),"Check client ID"))</f>
        <v/>
      </c>
      <c r="C59" s="5"/>
      <c r="D59" s="13"/>
      <c r="E59" s="13" t="str">
        <f aca="false">IF(D59="","",D59-14)</f>
        <v/>
      </c>
      <c r="F59" s="5" t="str">
        <f aca="true">IF(D59="","",D59-TODAY())</f>
        <v/>
      </c>
      <c r="G59" s="5"/>
    </row>
    <row r="60" customFormat="false" ht="15" hidden="false" customHeight="false" outlineLevel="0" collapsed="false">
      <c r="A60" s="5"/>
      <c r="B60" s="5" t="str">
        <f aca="false">IF(A60="","",IFERROR(INDEX(Clients!$B:$B,MATCH(A60,Clients!$A:$A,0)),"Check client ID"))</f>
        <v/>
      </c>
      <c r="C60" s="5"/>
      <c r="D60" s="13"/>
      <c r="E60" s="13" t="str">
        <f aca="false">IF(D60="","",D60-14)</f>
        <v/>
      </c>
      <c r="F60" s="5" t="str">
        <f aca="true">IF(D60="","",D60-TODAY())</f>
        <v/>
      </c>
      <c r="G60" s="5"/>
    </row>
    <row r="61" customFormat="false" ht="15" hidden="false" customHeight="false" outlineLevel="0" collapsed="false">
      <c r="A61" s="5"/>
      <c r="B61" s="5" t="str">
        <f aca="false">IF(A61="","",IFERROR(INDEX(Clients!$B:$B,MATCH(A61,Clients!$A:$A,0)),"Check client ID"))</f>
        <v/>
      </c>
      <c r="C61" s="5"/>
      <c r="D61" s="13"/>
      <c r="E61" s="13" t="str">
        <f aca="false">IF(D61="","",D61-14)</f>
        <v/>
      </c>
      <c r="F61" s="5" t="str">
        <f aca="true">IF(D61="","",D61-TODAY())</f>
        <v/>
      </c>
      <c r="G61" s="5"/>
    </row>
    <row r="62" customFormat="false" ht="15" hidden="false" customHeight="false" outlineLevel="0" collapsed="false">
      <c r="A62" s="5"/>
      <c r="B62" s="5" t="str">
        <f aca="false">IF(A62="","",IFERROR(INDEX(Clients!$B:$B,MATCH(A62,Clients!$A:$A,0)),"Check client ID"))</f>
        <v/>
      </c>
      <c r="C62" s="5"/>
      <c r="D62" s="13"/>
      <c r="E62" s="13" t="str">
        <f aca="false">IF(D62="","",D62-14)</f>
        <v/>
      </c>
      <c r="F62" s="5" t="str">
        <f aca="true">IF(D62="","",D62-TODAY())</f>
        <v/>
      </c>
      <c r="G62" s="5"/>
    </row>
    <row r="63" customFormat="false" ht="15" hidden="false" customHeight="false" outlineLevel="0" collapsed="false">
      <c r="A63" s="5"/>
      <c r="B63" s="5" t="str">
        <f aca="false">IF(A63="","",IFERROR(INDEX(Clients!$B:$B,MATCH(A63,Clients!$A:$A,0)),"Check client ID"))</f>
        <v/>
      </c>
      <c r="C63" s="5"/>
      <c r="D63" s="13"/>
      <c r="E63" s="13" t="str">
        <f aca="false">IF(D63="","",D63-14)</f>
        <v/>
      </c>
      <c r="F63" s="5" t="str">
        <f aca="true">IF(D63="","",D63-TODAY())</f>
        <v/>
      </c>
      <c r="G63" s="5"/>
    </row>
    <row r="64" customFormat="false" ht="15" hidden="false" customHeight="false" outlineLevel="0" collapsed="false">
      <c r="A64" s="5"/>
      <c r="B64" s="5" t="str">
        <f aca="false">IF(A64="","",IFERROR(INDEX(Clients!$B:$B,MATCH(A64,Clients!$A:$A,0)),"Check client ID"))</f>
        <v/>
      </c>
      <c r="C64" s="5"/>
      <c r="D64" s="13"/>
      <c r="E64" s="13" t="str">
        <f aca="false">IF(D64="","",D64-14)</f>
        <v/>
      </c>
      <c r="F64" s="5" t="str">
        <f aca="true">IF(D64="","",D64-TODAY())</f>
        <v/>
      </c>
      <c r="G64" s="5"/>
    </row>
    <row r="65" customFormat="false" ht="15" hidden="false" customHeight="false" outlineLevel="0" collapsed="false">
      <c r="A65" s="5"/>
      <c r="B65" s="5" t="str">
        <f aca="false">IF(A65="","",IFERROR(INDEX(Clients!$B:$B,MATCH(A65,Clients!$A:$A,0)),"Check client ID"))</f>
        <v/>
      </c>
      <c r="C65" s="5"/>
      <c r="D65" s="13"/>
      <c r="E65" s="13" t="str">
        <f aca="false">IF(D65="","",D65-14)</f>
        <v/>
      </c>
      <c r="F65" s="5" t="str">
        <f aca="true">IF(D65="","",D65-TODAY())</f>
        <v/>
      </c>
      <c r="G65" s="5"/>
    </row>
    <row r="66" customFormat="false" ht="15" hidden="false" customHeight="false" outlineLevel="0" collapsed="false">
      <c r="A66" s="5"/>
      <c r="B66" s="5" t="str">
        <f aca="false">IF(A66="","",IFERROR(INDEX(Clients!$B:$B,MATCH(A66,Clients!$A:$A,0)),"Check client ID"))</f>
        <v/>
      </c>
      <c r="C66" s="5"/>
      <c r="D66" s="13"/>
      <c r="E66" s="13" t="str">
        <f aca="false">IF(D66="","",D66-14)</f>
        <v/>
      </c>
      <c r="F66" s="5" t="str">
        <f aca="true">IF(D66="","",D66-TODAY())</f>
        <v/>
      </c>
      <c r="G66" s="5"/>
    </row>
    <row r="67" customFormat="false" ht="15" hidden="false" customHeight="false" outlineLevel="0" collapsed="false">
      <c r="A67" s="5"/>
      <c r="B67" s="5" t="str">
        <f aca="false">IF(A67="","",IFERROR(INDEX(Clients!$B:$B,MATCH(A67,Clients!$A:$A,0)),"Check client ID"))</f>
        <v/>
      </c>
      <c r="C67" s="5"/>
      <c r="D67" s="13"/>
      <c r="E67" s="13" t="str">
        <f aca="false">IF(D67="","",D67-14)</f>
        <v/>
      </c>
      <c r="F67" s="5" t="str">
        <f aca="true">IF(D67="","",D67-TODAY())</f>
        <v/>
      </c>
      <c r="G67" s="5"/>
    </row>
    <row r="68" customFormat="false" ht="15" hidden="false" customHeight="false" outlineLevel="0" collapsed="false">
      <c r="A68" s="5"/>
      <c r="B68" s="5" t="str">
        <f aca="false">IF(A68="","",IFERROR(INDEX(Clients!$B:$B,MATCH(A68,Clients!$A:$A,0)),"Check client ID"))</f>
        <v/>
      </c>
      <c r="C68" s="5"/>
      <c r="D68" s="13"/>
      <c r="E68" s="13" t="str">
        <f aca="false">IF(D68="","",D68-14)</f>
        <v/>
      </c>
      <c r="F68" s="5" t="str">
        <f aca="true">IF(D68="","",D68-TODAY())</f>
        <v/>
      </c>
      <c r="G68" s="5"/>
    </row>
    <row r="69" customFormat="false" ht="15" hidden="false" customHeight="false" outlineLevel="0" collapsed="false">
      <c r="A69" s="5"/>
      <c r="B69" s="5" t="str">
        <f aca="false">IF(A69="","",IFERROR(INDEX(Clients!$B:$B,MATCH(A69,Clients!$A:$A,0)),"Check client ID"))</f>
        <v/>
      </c>
      <c r="C69" s="5"/>
      <c r="D69" s="13"/>
      <c r="E69" s="13" t="str">
        <f aca="false">IF(D69="","",D69-14)</f>
        <v/>
      </c>
      <c r="F69" s="5" t="str">
        <f aca="true">IF(D69="","",D69-TODAY())</f>
        <v/>
      </c>
      <c r="G69" s="5"/>
    </row>
    <row r="70" customFormat="false" ht="15" hidden="false" customHeight="false" outlineLevel="0" collapsed="false">
      <c r="A70" s="5"/>
      <c r="B70" s="5" t="str">
        <f aca="false">IF(A70="","",IFERROR(INDEX(Clients!$B:$B,MATCH(A70,Clients!$A:$A,0)),"Check client ID"))</f>
        <v/>
      </c>
      <c r="C70" s="5"/>
      <c r="D70" s="13"/>
      <c r="E70" s="13" t="str">
        <f aca="false">IF(D70="","",D70-14)</f>
        <v/>
      </c>
      <c r="F70" s="5" t="str">
        <f aca="true">IF(D70="","",D70-TODAY())</f>
        <v/>
      </c>
      <c r="G70" s="5"/>
    </row>
    <row r="71" customFormat="false" ht="15" hidden="false" customHeight="false" outlineLevel="0" collapsed="false">
      <c r="A71" s="5"/>
      <c r="B71" s="5" t="str">
        <f aca="false">IF(A71="","",IFERROR(INDEX(Clients!$B:$B,MATCH(A71,Clients!$A:$A,0)),"Check client ID"))</f>
        <v/>
      </c>
      <c r="C71" s="5"/>
      <c r="D71" s="13"/>
      <c r="E71" s="13" t="str">
        <f aca="false">IF(D71="","",D71-14)</f>
        <v/>
      </c>
      <c r="F71" s="5" t="str">
        <f aca="true">IF(D71="","",D71-TODAY())</f>
        <v/>
      </c>
      <c r="G71" s="5"/>
    </row>
    <row r="72" customFormat="false" ht="15" hidden="false" customHeight="false" outlineLevel="0" collapsed="false">
      <c r="A72" s="5"/>
      <c r="B72" s="5" t="str">
        <f aca="false">IF(A72="","",IFERROR(INDEX(Clients!$B:$B,MATCH(A72,Clients!$A:$A,0)),"Check client ID"))</f>
        <v/>
      </c>
      <c r="C72" s="5"/>
      <c r="D72" s="13"/>
      <c r="E72" s="13" t="str">
        <f aca="false">IF(D72="","",D72-14)</f>
        <v/>
      </c>
      <c r="F72" s="5" t="str">
        <f aca="true">IF(D72="","",D72-TODAY())</f>
        <v/>
      </c>
      <c r="G72" s="5"/>
    </row>
    <row r="73" customFormat="false" ht="15" hidden="false" customHeight="false" outlineLevel="0" collapsed="false">
      <c r="A73" s="5"/>
      <c r="B73" s="5" t="str">
        <f aca="false">IF(A73="","",IFERROR(INDEX(Clients!$B:$B,MATCH(A73,Clients!$A:$A,0)),"Check client ID"))</f>
        <v/>
      </c>
      <c r="C73" s="5"/>
      <c r="D73" s="13"/>
      <c r="E73" s="13" t="str">
        <f aca="false">IF(D73="","",D73-14)</f>
        <v/>
      </c>
      <c r="F73" s="5" t="str">
        <f aca="true">IF(D73="","",D73-TODAY())</f>
        <v/>
      </c>
      <c r="G73" s="5"/>
    </row>
    <row r="74" customFormat="false" ht="15" hidden="false" customHeight="false" outlineLevel="0" collapsed="false">
      <c r="A74" s="5"/>
      <c r="B74" s="5" t="str">
        <f aca="false">IF(A74="","",IFERROR(INDEX(Clients!$B:$B,MATCH(A74,Clients!$A:$A,0)),"Check client ID"))</f>
        <v/>
      </c>
      <c r="C74" s="5"/>
      <c r="D74" s="13"/>
      <c r="E74" s="13" t="str">
        <f aca="false">IF(D74="","",D74-14)</f>
        <v/>
      </c>
      <c r="F74" s="5" t="str">
        <f aca="true">IF(D74="","",D74-TODAY())</f>
        <v/>
      </c>
      <c r="G74" s="5"/>
    </row>
    <row r="75" customFormat="false" ht="15" hidden="false" customHeight="false" outlineLevel="0" collapsed="false">
      <c r="A75" s="5"/>
      <c r="B75" s="5" t="str">
        <f aca="false">IF(A75="","",IFERROR(INDEX(Clients!$B:$B,MATCH(A75,Clients!$A:$A,0)),"Check client ID"))</f>
        <v/>
      </c>
      <c r="C75" s="5"/>
      <c r="D75" s="13"/>
      <c r="E75" s="13" t="str">
        <f aca="false">IF(D75="","",D75-14)</f>
        <v/>
      </c>
      <c r="F75" s="5" t="str">
        <f aca="true">IF(D75="","",D75-TODAY())</f>
        <v/>
      </c>
      <c r="G75" s="5"/>
    </row>
    <row r="76" customFormat="false" ht="15" hidden="false" customHeight="false" outlineLevel="0" collapsed="false">
      <c r="A76" s="5"/>
      <c r="B76" s="5" t="str">
        <f aca="false">IF(A76="","",IFERROR(INDEX(Clients!$B:$B,MATCH(A76,Clients!$A:$A,0)),"Check client ID"))</f>
        <v/>
      </c>
      <c r="C76" s="5"/>
      <c r="D76" s="13"/>
      <c r="E76" s="13" t="str">
        <f aca="false">IF(D76="","",D76-14)</f>
        <v/>
      </c>
      <c r="F76" s="5" t="str">
        <f aca="true">IF(D76="","",D76-TODAY())</f>
        <v/>
      </c>
      <c r="G76" s="5"/>
    </row>
    <row r="77" customFormat="false" ht="15" hidden="false" customHeight="false" outlineLevel="0" collapsed="false">
      <c r="A77" s="5"/>
      <c r="B77" s="5" t="str">
        <f aca="false">IF(A77="","",IFERROR(INDEX(Clients!$B:$B,MATCH(A77,Clients!$A:$A,0)),"Check client ID"))</f>
        <v/>
      </c>
      <c r="C77" s="5"/>
      <c r="D77" s="13"/>
      <c r="E77" s="13" t="str">
        <f aca="false">IF(D77="","",D77-14)</f>
        <v/>
      </c>
      <c r="F77" s="5" t="str">
        <f aca="true">IF(D77="","",D77-TODAY())</f>
        <v/>
      </c>
      <c r="G77" s="5"/>
    </row>
    <row r="78" customFormat="false" ht="15" hidden="false" customHeight="false" outlineLevel="0" collapsed="false">
      <c r="A78" s="5"/>
      <c r="B78" s="5" t="str">
        <f aca="false">IF(A78="","",IFERROR(INDEX(Clients!$B:$B,MATCH(A78,Clients!$A:$A,0)),"Check client ID"))</f>
        <v/>
      </c>
      <c r="C78" s="5"/>
      <c r="D78" s="13"/>
      <c r="E78" s="13" t="str">
        <f aca="false">IF(D78="","",D78-14)</f>
        <v/>
      </c>
      <c r="F78" s="5" t="str">
        <f aca="true">IF(D78="","",D78-TODAY())</f>
        <v/>
      </c>
      <c r="G78" s="5"/>
    </row>
    <row r="79" customFormat="false" ht="15" hidden="false" customHeight="false" outlineLevel="0" collapsed="false">
      <c r="A79" s="5"/>
      <c r="B79" s="5" t="str">
        <f aca="false">IF(A79="","",IFERROR(INDEX(Clients!$B:$B,MATCH(A79,Clients!$A:$A,0)),"Check client ID"))</f>
        <v/>
      </c>
      <c r="C79" s="5"/>
      <c r="D79" s="13"/>
      <c r="E79" s="13" t="str">
        <f aca="false">IF(D79="","",D79-14)</f>
        <v/>
      </c>
      <c r="F79" s="5" t="str">
        <f aca="true">IF(D79="","",D79-TODAY())</f>
        <v/>
      </c>
      <c r="G79" s="5"/>
    </row>
    <row r="80" customFormat="false" ht="15" hidden="false" customHeight="false" outlineLevel="0" collapsed="false">
      <c r="A80" s="5"/>
      <c r="B80" s="5" t="str">
        <f aca="false">IF(A80="","",IFERROR(INDEX(Clients!$B:$B,MATCH(A80,Clients!$A:$A,0)),"Check client ID"))</f>
        <v/>
      </c>
      <c r="C80" s="5"/>
      <c r="D80" s="13"/>
      <c r="E80" s="13" t="str">
        <f aca="false">IF(D80="","",D80-14)</f>
        <v/>
      </c>
      <c r="F80" s="5" t="str">
        <f aca="true">IF(D80="","",D80-TODAY())</f>
        <v/>
      </c>
      <c r="G80" s="5"/>
    </row>
    <row r="81" customFormat="false" ht="15" hidden="false" customHeight="false" outlineLevel="0" collapsed="false">
      <c r="A81" s="5"/>
      <c r="B81" s="5" t="str">
        <f aca="false">IF(A81="","",IFERROR(INDEX(Clients!$B:$B,MATCH(A81,Clients!$A:$A,0)),"Check client ID"))</f>
        <v/>
      </c>
      <c r="C81" s="5"/>
      <c r="D81" s="13"/>
      <c r="E81" s="13" t="str">
        <f aca="false">IF(D81="","",D81-14)</f>
        <v/>
      </c>
      <c r="F81" s="5" t="str">
        <f aca="true">IF(D81="","",D81-TODAY())</f>
        <v/>
      </c>
      <c r="G81" s="5"/>
    </row>
    <row r="82" customFormat="false" ht="15" hidden="false" customHeight="false" outlineLevel="0" collapsed="false">
      <c r="A82" s="5"/>
      <c r="B82" s="5" t="str">
        <f aca="false">IF(A82="","",IFERROR(INDEX(Clients!$B:$B,MATCH(A82,Clients!$A:$A,0)),"Check client ID"))</f>
        <v/>
      </c>
      <c r="C82" s="5"/>
      <c r="D82" s="13"/>
      <c r="E82" s="13" t="str">
        <f aca="false">IF(D82="","",D82-14)</f>
        <v/>
      </c>
      <c r="F82" s="5" t="str">
        <f aca="true">IF(D82="","",D82-TODAY())</f>
        <v/>
      </c>
      <c r="G82" s="5"/>
    </row>
    <row r="83" customFormat="false" ht="15" hidden="false" customHeight="false" outlineLevel="0" collapsed="false">
      <c r="A83" s="5"/>
      <c r="B83" s="5" t="str">
        <f aca="false">IF(A83="","",IFERROR(INDEX(Clients!$B:$B,MATCH(A83,Clients!$A:$A,0)),"Check client ID"))</f>
        <v/>
      </c>
      <c r="C83" s="5"/>
      <c r="D83" s="13"/>
      <c r="E83" s="13" t="str">
        <f aca="false">IF(D83="","",D83-14)</f>
        <v/>
      </c>
      <c r="F83" s="5" t="str">
        <f aca="true">IF(D83="","",D83-TODAY())</f>
        <v/>
      </c>
      <c r="G83" s="5"/>
    </row>
    <row r="84" customFormat="false" ht="15" hidden="false" customHeight="false" outlineLevel="0" collapsed="false">
      <c r="A84" s="5"/>
      <c r="B84" s="5" t="str">
        <f aca="false">IF(A84="","",IFERROR(INDEX(Clients!$B:$B,MATCH(A84,Clients!$A:$A,0)),"Check client ID"))</f>
        <v/>
      </c>
      <c r="C84" s="5"/>
      <c r="D84" s="13"/>
      <c r="E84" s="13" t="str">
        <f aca="false">IF(D84="","",D84-14)</f>
        <v/>
      </c>
      <c r="F84" s="5" t="str">
        <f aca="true">IF(D84="","",D84-TODAY())</f>
        <v/>
      </c>
      <c r="G84" s="5"/>
    </row>
    <row r="85" customFormat="false" ht="15" hidden="false" customHeight="false" outlineLevel="0" collapsed="false">
      <c r="A85" s="5"/>
      <c r="B85" s="5" t="str">
        <f aca="false">IF(A85="","",IFERROR(INDEX(Clients!$B:$B,MATCH(A85,Clients!$A:$A,0)),"Check client ID"))</f>
        <v/>
      </c>
      <c r="C85" s="5"/>
      <c r="D85" s="13"/>
      <c r="E85" s="13" t="str">
        <f aca="false">IF(D85="","",D85-14)</f>
        <v/>
      </c>
      <c r="F85" s="5" t="str">
        <f aca="true">IF(D85="","",D85-TODAY())</f>
        <v/>
      </c>
      <c r="G85" s="5"/>
    </row>
    <row r="86" customFormat="false" ht="15" hidden="false" customHeight="false" outlineLevel="0" collapsed="false">
      <c r="A86" s="5"/>
      <c r="B86" s="5" t="str">
        <f aca="false">IF(A86="","",IFERROR(INDEX(Clients!$B:$B,MATCH(A86,Clients!$A:$A,0)),"Check client ID"))</f>
        <v/>
      </c>
      <c r="C86" s="5"/>
      <c r="D86" s="13"/>
      <c r="E86" s="13" t="str">
        <f aca="false">IF(D86="","",D86-14)</f>
        <v/>
      </c>
      <c r="F86" s="5" t="str">
        <f aca="true">IF(D86="","",D86-TODAY())</f>
        <v/>
      </c>
      <c r="G86" s="5"/>
    </row>
    <row r="87" customFormat="false" ht="15" hidden="false" customHeight="false" outlineLevel="0" collapsed="false">
      <c r="A87" s="5"/>
      <c r="B87" s="5" t="str">
        <f aca="false">IF(A87="","",IFERROR(INDEX(Clients!$B:$B,MATCH(A87,Clients!$A:$A,0)),"Check client ID"))</f>
        <v/>
      </c>
      <c r="C87" s="5"/>
      <c r="D87" s="13"/>
      <c r="E87" s="13" t="str">
        <f aca="false">IF(D87="","",D87-14)</f>
        <v/>
      </c>
      <c r="F87" s="5" t="str">
        <f aca="true">IF(D87="","",D87-TODAY())</f>
        <v/>
      </c>
      <c r="G87" s="5"/>
    </row>
    <row r="88" customFormat="false" ht="15" hidden="false" customHeight="false" outlineLevel="0" collapsed="false">
      <c r="A88" s="5"/>
      <c r="B88" s="5" t="str">
        <f aca="false">IF(A88="","",IFERROR(INDEX(Clients!$B:$B,MATCH(A88,Clients!$A:$A,0)),"Check client ID"))</f>
        <v/>
      </c>
      <c r="C88" s="5"/>
      <c r="D88" s="13"/>
      <c r="E88" s="13" t="str">
        <f aca="false">IF(D88="","",D88-14)</f>
        <v/>
      </c>
      <c r="F88" s="5" t="str">
        <f aca="true">IF(D88="","",D88-TODAY())</f>
        <v/>
      </c>
      <c r="G88" s="5"/>
    </row>
    <row r="89" customFormat="false" ht="15" hidden="false" customHeight="false" outlineLevel="0" collapsed="false">
      <c r="A89" s="5"/>
      <c r="B89" s="5" t="str">
        <f aca="false">IF(A89="","",IFERROR(INDEX(Clients!$B:$B,MATCH(A89,Clients!$A:$A,0)),"Check client ID"))</f>
        <v/>
      </c>
      <c r="C89" s="5"/>
      <c r="D89" s="13"/>
      <c r="E89" s="13" t="str">
        <f aca="false">IF(D89="","",D89-14)</f>
        <v/>
      </c>
      <c r="F89" s="5" t="str">
        <f aca="true">IF(D89="","",D89-TODAY())</f>
        <v/>
      </c>
      <c r="G89" s="5"/>
    </row>
    <row r="90" customFormat="false" ht="15" hidden="false" customHeight="false" outlineLevel="0" collapsed="false">
      <c r="A90" s="5"/>
      <c r="B90" s="5" t="str">
        <f aca="false">IF(A90="","",IFERROR(INDEX(Clients!$B:$B,MATCH(A90,Clients!$A:$A,0)),"Check client ID"))</f>
        <v/>
      </c>
      <c r="C90" s="5"/>
      <c r="D90" s="13"/>
      <c r="E90" s="13" t="str">
        <f aca="false">IF(D90="","",D90-14)</f>
        <v/>
      </c>
      <c r="F90" s="5" t="str">
        <f aca="true">IF(D90="","",D90-TODAY())</f>
        <v/>
      </c>
      <c r="G90" s="5"/>
    </row>
    <row r="91" customFormat="false" ht="15" hidden="false" customHeight="false" outlineLevel="0" collapsed="false">
      <c r="A91" s="5"/>
      <c r="B91" s="5" t="str">
        <f aca="false">IF(A91="","",IFERROR(INDEX(Clients!$B:$B,MATCH(A91,Clients!$A:$A,0)),"Check client ID"))</f>
        <v/>
      </c>
      <c r="C91" s="5"/>
      <c r="D91" s="13"/>
      <c r="E91" s="13" t="str">
        <f aca="false">IF(D91="","",D91-14)</f>
        <v/>
      </c>
      <c r="F91" s="5" t="str">
        <f aca="true">IF(D91="","",D91-TODAY())</f>
        <v/>
      </c>
      <c r="G91" s="5"/>
    </row>
    <row r="92" customFormat="false" ht="15" hidden="false" customHeight="false" outlineLevel="0" collapsed="false">
      <c r="A92" s="5"/>
      <c r="B92" s="5" t="str">
        <f aca="false">IF(A92="","",IFERROR(INDEX(Clients!$B:$B,MATCH(A92,Clients!$A:$A,0)),"Check client ID"))</f>
        <v/>
      </c>
      <c r="C92" s="5"/>
      <c r="D92" s="13"/>
      <c r="E92" s="13" t="str">
        <f aca="false">IF(D92="","",D92-14)</f>
        <v/>
      </c>
      <c r="F92" s="5" t="str">
        <f aca="true">IF(D92="","",D92-TODAY())</f>
        <v/>
      </c>
      <c r="G92" s="5"/>
    </row>
    <row r="93" customFormat="false" ht="15" hidden="false" customHeight="false" outlineLevel="0" collapsed="false">
      <c r="A93" s="5"/>
      <c r="B93" s="5" t="str">
        <f aca="false">IF(A93="","",IFERROR(INDEX(Clients!$B:$B,MATCH(A93,Clients!$A:$A,0)),"Check client ID"))</f>
        <v/>
      </c>
      <c r="C93" s="5"/>
      <c r="D93" s="13"/>
      <c r="E93" s="13" t="str">
        <f aca="false">IF(D93="","",D93-14)</f>
        <v/>
      </c>
      <c r="F93" s="5" t="str">
        <f aca="true">IF(D93="","",D93-TODAY())</f>
        <v/>
      </c>
      <c r="G93" s="5"/>
    </row>
    <row r="94" customFormat="false" ht="15" hidden="false" customHeight="false" outlineLevel="0" collapsed="false">
      <c r="A94" s="5"/>
      <c r="B94" s="5" t="str">
        <f aca="false">IF(A94="","",IFERROR(INDEX(Clients!$B:$B,MATCH(A94,Clients!$A:$A,0)),"Check client ID"))</f>
        <v/>
      </c>
      <c r="C94" s="5"/>
      <c r="D94" s="13"/>
      <c r="E94" s="13" t="str">
        <f aca="false">IF(D94="","",D94-14)</f>
        <v/>
      </c>
      <c r="F94" s="5" t="str">
        <f aca="true">IF(D94="","",D94-TODAY())</f>
        <v/>
      </c>
      <c r="G94" s="5"/>
    </row>
    <row r="95" customFormat="false" ht="15" hidden="false" customHeight="false" outlineLevel="0" collapsed="false">
      <c r="A95" s="5"/>
      <c r="B95" s="5" t="str">
        <f aca="false">IF(A95="","",IFERROR(INDEX(Clients!$B:$B,MATCH(A95,Clients!$A:$A,0)),"Check client ID"))</f>
        <v/>
      </c>
      <c r="C95" s="5"/>
      <c r="D95" s="13"/>
      <c r="E95" s="13" t="str">
        <f aca="false">IF(D95="","",D95-14)</f>
        <v/>
      </c>
      <c r="F95" s="5" t="str">
        <f aca="true">IF(D95="","",D95-TODAY())</f>
        <v/>
      </c>
      <c r="G95" s="5"/>
    </row>
    <row r="96" customFormat="false" ht="15" hidden="false" customHeight="false" outlineLevel="0" collapsed="false">
      <c r="A96" s="5"/>
      <c r="B96" s="5" t="str">
        <f aca="false">IF(A96="","",IFERROR(INDEX(Clients!$B:$B,MATCH(A96,Clients!$A:$A,0)),"Check client ID"))</f>
        <v/>
      </c>
      <c r="C96" s="5"/>
      <c r="D96" s="13"/>
      <c r="E96" s="13" t="str">
        <f aca="false">IF(D96="","",D96-14)</f>
        <v/>
      </c>
      <c r="F96" s="5" t="str">
        <f aca="true">IF(D96="","",D96-TODAY())</f>
        <v/>
      </c>
      <c r="G96" s="5"/>
    </row>
    <row r="97" customFormat="false" ht="15" hidden="false" customHeight="false" outlineLevel="0" collapsed="false">
      <c r="A97" s="5"/>
      <c r="B97" s="5" t="str">
        <f aca="false">IF(A97="","",IFERROR(INDEX(Clients!$B:$B,MATCH(A97,Clients!$A:$A,0)),"Check client ID"))</f>
        <v/>
      </c>
      <c r="C97" s="5"/>
      <c r="D97" s="13"/>
      <c r="E97" s="13" t="str">
        <f aca="false">IF(D97="","",D97-14)</f>
        <v/>
      </c>
      <c r="F97" s="5" t="str">
        <f aca="true">IF(D97="","",D97-TODAY())</f>
        <v/>
      </c>
      <c r="G97" s="5"/>
    </row>
    <row r="98" customFormat="false" ht="15" hidden="false" customHeight="false" outlineLevel="0" collapsed="false">
      <c r="A98" s="5"/>
      <c r="B98" s="5" t="str">
        <f aca="false">IF(A98="","",IFERROR(INDEX(Clients!$B:$B,MATCH(A98,Clients!$A:$A,0)),"Check client ID"))</f>
        <v/>
      </c>
      <c r="C98" s="5"/>
      <c r="D98" s="13"/>
      <c r="E98" s="13" t="str">
        <f aca="false">IF(D98="","",D98-14)</f>
        <v/>
      </c>
      <c r="F98" s="5" t="str">
        <f aca="true">IF(D98="","",D98-TODAY())</f>
        <v/>
      </c>
      <c r="G98" s="5"/>
    </row>
    <row r="99" customFormat="false" ht="15" hidden="false" customHeight="false" outlineLevel="0" collapsed="false">
      <c r="A99" s="5"/>
      <c r="B99" s="5" t="str">
        <f aca="false">IF(A99="","",IFERROR(INDEX(Clients!$B:$B,MATCH(A99,Clients!$A:$A,0)),"Check client ID"))</f>
        <v/>
      </c>
      <c r="C99" s="5"/>
      <c r="D99" s="13"/>
      <c r="E99" s="13" t="str">
        <f aca="false">IF(D99="","",D99-14)</f>
        <v/>
      </c>
      <c r="F99" s="5" t="str">
        <f aca="true">IF(D99="","",D99-TODAY())</f>
        <v/>
      </c>
      <c r="G99" s="5"/>
    </row>
    <row r="100" customFormat="false" ht="15" hidden="false" customHeight="false" outlineLevel="0" collapsed="false">
      <c r="A100" s="5"/>
      <c r="B100" s="5" t="str">
        <f aca="false">IF(A100="","",IFERROR(INDEX(Clients!$B:$B,MATCH(A100,Clients!$A:$A,0)),"Check client ID"))</f>
        <v/>
      </c>
      <c r="C100" s="5"/>
      <c r="D100" s="13"/>
      <c r="E100" s="13" t="str">
        <f aca="false">IF(D100="","",D100-14)</f>
        <v/>
      </c>
      <c r="F100" s="5" t="str">
        <f aca="true">IF(D100="","",D100-TODAY())</f>
        <v/>
      </c>
      <c r="G100" s="5"/>
    </row>
    <row r="101" customFormat="false" ht="15" hidden="false" customHeight="false" outlineLevel="0" collapsed="false">
      <c r="A101" s="5"/>
      <c r="B101" s="5" t="str">
        <f aca="false">IF(A101="","",IFERROR(INDEX(Clients!$B:$B,MATCH(A101,Clients!$A:$A,0)),"Check client ID"))</f>
        <v/>
      </c>
      <c r="C101" s="5"/>
      <c r="D101" s="13"/>
      <c r="E101" s="13" t="str">
        <f aca="false">IF(D101="","",D101-14)</f>
        <v/>
      </c>
      <c r="F101" s="5" t="str">
        <f aca="true">IF(D101="","",D101-TODAY())</f>
        <v/>
      </c>
      <c r="G101" s="5"/>
    </row>
    <row r="102" customFormat="false" ht="15" hidden="false" customHeight="false" outlineLevel="0" collapsed="false">
      <c r="A102" s="5"/>
      <c r="B102" s="5" t="str">
        <f aca="false">IF(A102="","",IFERROR(INDEX(Clients!$B:$B,MATCH(A102,Clients!$A:$A,0)),"Check client ID"))</f>
        <v/>
      </c>
      <c r="C102" s="5"/>
      <c r="D102" s="13"/>
      <c r="E102" s="13" t="str">
        <f aca="false">IF(D102="","",D102-14)</f>
        <v/>
      </c>
      <c r="F102" s="5" t="str">
        <f aca="true">IF(D102="","",D102-TODAY())</f>
        <v/>
      </c>
      <c r="G102" s="5"/>
    </row>
    <row r="103" customFormat="false" ht="15" hidden="false" customHeight="false" outlineLevel="0" collapsed="false">
      <c r="A103" s="5"/>
      <c r="B103" s="5" t="str">
        <f aca="false">IF(A103="","",IFERROR(INDEX(Clients!$B:$B,MATCH(A103,Clients!$A:$A,0)),"Check client ID"))</f>
        <v/>
      </c>
      <c r="C103" s="5"/>
      <c r="D103" s="13"/>
      <c r="E103" s="13" t="str">
        <f aca="false">IF(D103="","",D103-14)</f>
        <v/>
      </c>
      <c r="F103" s="5" t="str">
        <f aca="true">IF(D103="","",D103-TODAY())</f>
        <v/>
      </c>
      <c r="G103" s="5"/>
    </row>
    <row r="104" customFormat="false" ht="15" hidden="false" customHeight="false" outlineLevel="0" collapsed="false">
      <c r="A104" s="5"/>
      <c r="B104" s="5" t="str">
        <f aca="false">IF(A104="","",IFERROR(INDEX(Clients!$B:$B,MATCH(A104,Clients!$A:$A,0)),"Check client ID"))</f>
        <v/>
      </c>
      <c r="C104" s="5"/>
      <c r="D104" s="13"/>
      <c r="E104" s="13" t="str">
        <f aca="false">IF(D104="","",D104-14)</f>
        <v/>
      </c>
      <c r="F104" s="5" t="str">
        <f aca="true">IF(D104="","",D104-TODAY())</f>
        <v/>
      </c>
      <c r="G104" s="5"/>
    </row>
    <row r="105" customFormat="false" ht="15" hidden="false" customHeight="false" outlineLevel="0" collapsed="false">
      <c r="A105" s="5"/>
      <c r="B105" s="5" t="str">
        <f aca="false">IF(A105="","",IFERROR(INDEX(Clients!$B:$B,MATCH(A105,Clients!$A:$A,0)),"Check client ID"))</f>
        <v/>
      </c>
      <c r="C105" s="5"/>
      <c r="D105" s="13"/>
      <c r="E105" s="13" t="str">
        <f aca="false">IF(D105="","",D105-14)</f>
        <v/>
      </c>
      <c r="F105" s="5" t="str">
        <f aca="true">IF(D105="","",D105-TODAY())</f>
        <v/>
      </c>
      <c r="G105" s="5"/>
    </row>
    <row r="106" customFormat="false" ht="15" hidden="false" customHeight="false" outlineLevel="0" collapsed="false">
      <c r="A106" s="5"/>
      <c r="B106" s="5" t="str">
        <f aca="false">IF(A106="","",IFERROR(INDEX(Clients!$B:$B,MATCH(A106,Clients!$A:$A,0)),"Check client ID"))</f>
        <v/>
      </c>
      <c r="C106" s="5"/>
      <c r="D106" s="13"/>
      <c r="E106" s="13" t="str">
        <f aca="false">IF(D106="","",D106-14)</f>
        <v/>
      </c>
      <c r="F106" s="5" t="str">
        <f aca="true">IF(D106="","",D106-TODAY())</f>
        <v/>
      </c>
      <c r="G106" s="5"/>
    </row>
    <row r="107" customFormat="false" ht="15" hidden="false" customHeight="false" outlineLevel="0" collapsed="false">
      <c r="A107" s="5"/>
      <c r="B107" s="5" t="str">
        <f aca="false">IF(A107="","",IFERROR(INDEX(Clients!$B:$B,MATCH(A107,Clients!$A:$A,0)),"Check client ID"))</f>
        <v/>
      </c>
      <c r="C107" s="5"/>
      <c r="D107" s="13"/>
      <c r="E107" s="13" t="str">
        <f aca="false">IF(D107="","",D107-14)</f>
        <v/>
      </c>
      <c r="F107" s="5" t="str">
        <f aca="true">IF(D107="","",D107-TODAY())</f>
        <v/>
      </c>
      <c r="G107" s="5"/>
    </row>
    <row r="108" customFormat="false" ht="15" hidden="false" customHeight="false" outlineLevel="0" collapsed="false">
      <c r="A108" s="5"/>
      <c r="B108" s="5" t="str">
        <f aca="false">IF(A108="","",IFERROR(INDEX(Clients!$B:$B,MATCH(A108,Clients!$A:$A,0)),"Check client ID"))</f>
        <v/>
      </c>
      <c r="C108" s="5"/>
      <c r="D108" s="13"/>
      <c r="E108" s="13" t="str">
        <f aca="false">IF(D108="","",D108-14)</f>
        <v/>
      </c>
      <c r="F108" s="5" t="str">
        <f aca="true">IF(D108="","",D108-TODAY())</f>
        <v/>
      </c>
      <c r="G108" s="5"/>
    </row>
    <row r="109" customFormat="false" ht="15" hidden="false" customHeight="false" outlineLevel="0" collapsed="false">
      <c r="A109" s="5"/>
      <c r="B109" s="5" t="str">
        <f aca="false">IF(A109="","",IFERROR(INDEX(Clients!$B:$B,MATCH(A109,Clients!$A:$A,0)),"Check client ID"))</f>
        <v/>
      </c>
      <c r="C109" s="5"/>
      <c r="D109" s="13"/>
      <c r="E109" s="13" t="str">
        <f aca="false">IF(D109="","",D109-14)</f>
        <v/>
      </c>
      <c r="F109" s="5" t="str">
        <f aca="true">IF(D109="","",D109-TODAY())</f>
        <v/>
      </c>
      <c r="G109" s="5"/>
    </row>
    <row r="110" customFormat="false" ht="15" hidden="false" customHeight="false" outlineLevel="0" collapsed="false">
      <c r="A110" s="5"/>
      <c r="B110" s="5" t="str">
        <f aca="false">IF(A110="","",IFERROR(INDEX(Clients!$B:$B,MATCH(A110,Clients!$A:$A,0)),"Check client ID"))</f>
        <v/>
      </c>
      <c r="C110" s="5"/>
      <c r="D110" s="13"/>
      <c r="E110" s="13" t="str">
        <f aca="false">IF(D110="","",D110-14)</f>
        <v/>
      </c>
      <c r="F110" s="5" t="str">
        <f aca="true">IF(D110="","",D110-TODAY())</f>
        <v/>
      </c>
      <c r="G110" s="5"/>
    </row>
    <row r="111" customFormat="false" ht="15" hidden="false" customHeight="false" outlineLevel="0" collapsed="false">
      <c r="A111" s="5"/>
      <c r="B111" s="5" t="str">
        <f aca="false">IF(A111="","",IFERROR(INDEX(Clients!$B:$B,MATCH(A111,Clients!$A:$A,0)),"Check client ID"))</f>
        <v/>
      </c>
      <c r="C111" s="5"/>
      <c r="D111" s="13"/>
      <c r="E111" s="13" t="str">
        <f aca="false">IF(D111="","",D111-14)</f>
        <v/>
      </c>
      <c r="F111" s="5" t="str">
        <f aca="true">IF(D111="","",D111-TODAY())</f>
        <v/>
      </c>
      <c r="G111" s="5"/>
    </row>
    <row r="112" customFormat="false" ht="15" hidden="false" customHeight="false" outlineLevel="0" collapsed="false">
      <c r="A112" s="5"/>
      <c r="B112" s="5" t="str">
        <f aca="false">IF(A112="","",IFERROR(INDEX(Clients!$B:$B,MATCH(A112,Clients!$A:$A,0)),"Check client ID"))</f>
        <v/>
      </c>
      <c r="C112" s="5"/>
      <c r="D112" s="13"/>
      <c r="E112" s="13" t="str">
        <f aca="false">IF(D112="","",D112-14)</f>
        <v/>
      </c>
      <c r="F112" s="5" t="str">
        <f aca="true">IF(D112="","",D112-TODAY())</f>
        <v/>
      </c>
      <c r="G112" s="5"/>
    </row>
    <row r="113" customFormat="false" ht="15" hidden="false" customHeight="false" outlineLevel="0" collapsed="false">
      <c r="A113" s="5"/>
      <c r="B113" s="5" t="str">
        <f aca="false">IF(A113="","",IFERROR(INDEX(Clients!$B:$B,MATCH(A113,Clients!$A:$A,0)),"Check client ID"))</f>
        <v/>
      </c>
      <c r="C113" s="5"/>
      <c r="D113" s="13"/>
      <c r="E113" s="13" t="str">
        <f aca="false">IF(D113="","",D113-14)</f>
        <v/>
      </c>
      <c r="F113" s="5" t="str">
        <f aca="true">IF(D113="","",D113-TODAY())</f>
        <v/>
      </c>
      <c r="G113" s="5"/>
    </row>
    <row r="114" customFormat="false" ht="15" hidden="false" customHeight="false" outlineLevel="0" collapsed="false">
      <c r="A114" s="5"/>
      <c r="B114" s="5" t="str">
        <f aca="false">IF(A114="","",IFERROR(INDEX(Clients!$B:$B,MATCH(A114,Clients!$A:$A,0)),"Check client ID"))</f>
        <v/>
      </c>
      <c r="C114" s="5"/>
      <c r="D114" s="13"/>
      <c r="E114" s="13" t="str">
        <f aca="false">IF(D114="","",D114-14)</f>
        <v/>
      </c>
      <c r="F114" s="5" t="str">
        <f aca="true">IF(D114="","",D114-TODAY())</f>
        <v/>
      </c>
      <c r="G114" s="5"/>
    </row>
    <row r="115" customFormat="false" ht="15" hidden="false" customHeight="false" outlineLevel="0" collapsed="false">
      <c r="A115" s="5"/>
      <c r="B115" s="5" t="str">
        <f aca="false">IF(A115="","",IFERROR(INDEX(Clients!$B:$B,MATCH(A115,Clients!$A:$A,0)),"Check client ID"))</f>
        <v/>
      </c>
      <c r="C115" s="5"/>
      <c r="D115" s="13"/>
      <c r="E115" s="13" t="str">
        <f aca="false">IF(D115="","",D115-14)</f>
        <v/>
      </c>
      <c r="F115" s="5" t="str">
        <f aca="true">IF(D115="","",D115-TODAY())</f>
        <v/>
      </c>
      <c r="G115" s="5"/>
    </row>
    <row r="116" customFormat="false" ht="15" hidden="false" customHeight="false" outlineLevel="0" collapsed="false">
      <c r="A116" s="5"/>
      <c r="B116" s="5" t="str">
        <f aca="false">IF(A116="","",IFERROR(INDEX(Clients!$B:$B,MATCH(A116,Clients!$A:$A,0)),"Check client ID"))</f>
        <v/>
      </c>
      <c r="C116" s="5"/>
      <c r="D116" s="13"/>
      <c r="E116" s="13" t="str">
        <f aca="false">IF(D116="","",D116-14)</f>
        <v/>
      </c>
      <c r="F116" s="5" t="str">
        <f aca="true">IF(D116="","",D116-TODAY())</f>
        <v/>
      </c>
      <c r="G116" s="5"/>
    </row>
    <row r="117" customFormat="false" ht="15" hidden="false" customHeight="false" outlineLevel="0" collapsed="false">
      <c r="A117" s="5"/>
      <c r="B117" s="5" t="str">
        <f aca="false">IF(A117="","",IFERROR(INDEX(Clients!$B:$B,MATCH(A117,Clients!$A:$A,0)),"Check client ID"))</f>
        <v/>
      </c>
      <c r="C117" s="5"/>
      <c r="D117" s="13"/>
      <c r="E117" s="13" t="str">
        <f aca="false">IF(D117="","",D117-14)</f>
        <v/>
      </c>
      <c r="F117" s="5" t="str">
        <f aca="true">IF(D117="","",D117-TODAY())</f>
        <v/>
      </c>
      <c r="G117" s="5"/>
    </row>
    <row r="118" customFormat="false" ht="15" hidden="false" customHeight="false" outlineLevel="0" collapsed="false">
      <c r="A118" s="5"/>
      <c r="B118" s="5" t="str">
        <f aca="false">IF(A118="","",IFERROR(INDEX(Clients!$B:$B,MATCH(A118,Clients!$A:$A,0)),"Check client ID"))</f>
        <v/>
      </c>
      <c r="C118" s="5"/>
      <c r="D118" s="13"/>
      <c r="E118" s="13" t="str">
        <f aca="false">IF(D118="","",D118-14)</f>
        <v/>
      </c>
      <c r="F118" s="5" t="str">
        <f aca="true">IF(D118="","",D118-TODAY())</f>
        <v/>
      </c>
      <c r="G118" s="5"/>
    </row>
    <row r="119" customFormat="false" ht="15" hidden="false" customHeight="false" outlineLevel="0" collapsed="false">
      <c r="A119" s="5"/>
      <c r="B119" s="5" t="str">
        <f aca="false">IF(A119="","",IFERROR(INDEX(Clients!$B:$B,MATCH(A119,Clients!$A:$A,0)),"Check client ID"))</f>
        <v/>
      </c>
      <c r="C119" s="5"/>
      <c r="D119" s="13"/>
      <c r="E119" s="13" t="str">
        <f aca="false">IF(D119="","",D119-14)</f>
        <v/>
      </c>
      <c r="F119" s="5" t="str">
        <f aca="true">IF(D119="","",D119-TODAY())</f>
        <v/>
      </c>
      <c r="G119" s="5"/>
    </row>
    <row r="120" customFormat="false" ht="15" hidden="false" customHeight="false" outlineLevel="0" collapsed="false">
      <c r="A120" s="5"/>
      <c r="B120" s="5" t="str">
        <f aca="false">IF(A120="","",IFERROR(INDEX(Clients!$B:$B,MATCH(A120,Clients!$A:$A,0)),"Check client ID"))</f>
        <v/>
      </c>
      <c r="C120" s="5"/>
      <c r="D120" s="13"/>
      <c r="E120" s="13" t="str">
        <f aca="false">IF(D120="","",D120-14)</f>
        <v/>
      </c>
      <c r="F120" s="5" t="str">
        <f aca="true">IF(D120="","",D120-TODAY())</f>
        <v/>
      </c>
      <c r="G120" s="5"/>
    </row>
    <row r="121" customFormat="false" ht="15" hidden="false" customHeight="false" outlineLevel="0" collapsed="false">
      <c r="A121" s="5"/>
      <c r="B121" s="5" t="str">
        <f aca="false">IF(A121="","",IFERROR(INDEX(Clients!$B:$B,MATCH(A121,Clients!$A:$A,0)),"Check client ID"))</f>
        <v/>
      </c>
      <c r="C121" s="5"/>
      <c r="D121" s="13"/>
      <c r="E121" s="13" t="str">
        <f aca="false">IF(D121="","",D121-14)</f>
        <v/>
      </c>
      <c r="F121" s="5" t="str">
        <f aca="true">IF(D121="","",D121-TODAY())</f>
        <v/>
      </c>
      <c r="G121" s="5"/>
    </row>
    <row r="122" customFormat="false" ht="15" hidden="false" customHeight="false" outlineLevel="0" collapsed="false">
      <c r="A122" s="5"/>
      <c r="B122" s="5" t="str">
        <f aca="false">IF(A122="","",IFERROR(INDEX(Clients!$B:$B,MATCH(A122,Clients!$A:$A,0)),"Check client ID"))</f>
        <v/>
      </c>
      <c r="C122" s="5"/>
      <c r="D122" s="13"/>
      <c r="E122" s="13" t="str">
        <f aca="false">IF(D122="","",D122-14)</f>
        <v/>
      </c>
      <c r="F122" s="5" t="str">
        <f aca="true">IF(D122="","",D122-TODAY())</f>
        <v/>
      </c>
      <c r="G122" s="5"/>
    </row>
    <row r="123" customFormat="false" ht="15" hidden="false" customHeight="false" outlineLevel="0" collapsed="false">
      <c r="A123" s="5"/>
      <c r="B123" s="5" t="str">
        <f aca="false">IF(A123="","",IFERROR(INDEX(Clients!$B:$B,MATCH(A123,Clients!$A:$A,0)),"Check client ID"))</f>
        <v/>
      </c>
      <c r="C123" s="5"/>
      <c r="D123" s="13"/>
      <c r="E123" s="13" t="str">
        <f aca="false">IF(D123="","",D123-14)</f>
        <v/>
      </c>
      <c r="F123" s="5" t="str">
        <f aca="true">IF(D123="","",D123-TODAY())</f>
        <v/>
      </c>
      <c r="G123" s="5"/>
    </row>
    <row r="124" customFormat="false" ht="15" hidden="false" customHeight="false" outlineLevel="0" collapsed="false">
      <c r="A124" s="5"/>
      <c r="B124" s="5" t="str">
        <f aca="false">IF(A124="","",IFERROR(INDEX(Clients!$B:$B,MATCH(A124,Clients!$A:$A,0)),"Check client ID"))</f>
        <v/>
      </c>
      <c r="C124" s="5"/>
      <c r="D124" s="13"/>
      <c r="E124" s="13" t="str">
        <f aca="false">IF(D124="","",D124-14)</f>
        <v/>
      </c>
      <c r="F124" s="5" t="str">
        <f aca="true">IF(D124="","",D124-TODAY())</f>
        <v/>
      </c>
      <c r="G124" s="5"/>
    </row>
    <row r="125" customFormat="false" ht="15" hidden="false" customHeight="false" outlineLevel="0" collapsed="false">
      <c r="A125" s="5"/>
      <c r="B125" s="5" t="str">
        <f aca="false">IF(A125="","",IFERROR(INDEX(Clients!$B:$B,MATCH(A125,Clients!$A:$A,0)),"Check client ID"))</f>
        <v/>
      </c>
      <c r="C125" s="5"/>
      <c r="D125" s="13"/>
      <c r="E125" s="13" t="str">
        <f aca="false">IF(D125="","",D125-14)</f>
        <v/>
      </c>
      <c r="F125" s="5" t="str">
        <f aca="true">IF(D125="","",D125-TODAY())</f>
        <v/>
      </c>
      <c r="G125" s="5"/>
    </row>
    <row r="126" customFormat="false" ht="15" hidden="false" customHeight="false" outlineLevel="0" collapsed="false">
      <c r="A126" s="5"/>
      <c r="B126" s="5" t="str">
        <f aca="false">IF(A126="","",IFERROR(INDEX(Clients!$B:$B,MATCH(A126,Clients!$A:$A,0)),"Check client ID"))</f>
        <v/>
      </c>
      <c r="C126" s="5"/>
      <c r="D126" s="13"/>
      <c r="E126" s="13" t="str">
        <f aca="false">IF(D126="","",D126-14)</f>
        <v/>
      </c>
      <c r="F126" s="5" t="str">
        <f aca="true">IF(D126="","",D126-TODAY())</f>
        <v/>
      </c>
      <c r="G126" s="5"/>
    </row>
    <row r="127" customFormat="false" ht="15" hidden="false" customHeight="false" outlineLevel="0" collapsed="false">
      <c r="A127" s="5"/>
      <c r="B127" s="5" t="str">
        <f aca="false">IF(A127="","",IFERROR(INDEX(Clients!$B:$B,MATCH(A127,Clients!$A:$A,0)),"Check client ID"))</f>
        <v/>
      </c>
      <c r="C127" s="5"/>
      <c r="D127" s="13"/>
      <c r="E127" s="13" t="str">
        <f aca="false">IF(D127="","",D127-14)</f>
        <v/>
      </c>
      <c r="F127" s="5" t="str">
        <f aca="true">IF(D127="","",D127-TODAY())</f>
        <v/>
      </c>
      <c r="G127" s="5"/>
    </row>
    <row r="128" customFormat="false" ht="15" hidden="false" customHeight="false" outlineLevel="0" collapsed="false">
      <c r="A128" s="5"/>
      <c r="B128" s="5" t="str">
        <f aca="false">IF(A128="","",IFERROR(INDEX(Clients!$B:$B,MATCH(A128,Clients!$A:$A,0)),"Check client ID"))</f>
        <v/>
      </c>
      <c r="C128" s="5"/>
      <c r="D128" s="13"/>
      <c r="E128" s="13" t="str">
        <f aca="false">IF(D128="","",D128-14)</f>
        <v/>
      </c>
      <c r="F128" s="5" t="str">
        <f aca="true">IF(D128="","",D128-TODAY())</f>
        <v/>
      </c>
      <c r="G128" s="5"/>
    </row>
    <row r="129" customFormat="false" ht="15" hidden="false" customHeight="false" outlineLevel="0" collapsed="false">
      <c r="A129" s="5"/>
      <c r="B129" s="5" t="str">
        <f aca="false">IF(A129="","",IFERROR(INDEX(Clients!$B:$B,MATCH(A129,Clients!$A:$A,0)),"Check client ID"))</f>
        <v/>
      </c>
      <c r="C129" s="5"/>
      <c r="D129" s="13"/>
      <c r="E129" s="13" t="str">
        <f aca="false">IF(D129="","",D129-14)</f>
        <v/>
      </c>
      <c r="F129" s="5" t="str">
        <f aca="true">IF(D129="","",D129-TODAY())</f>
        <v/>
      </c>
      <c r="G129" s="5"/>
    </row>
    <row r="130" customFormat="false" ht="15" hidden="false" customHeight="false" outlineLevel="0" collapsed="false">
      <c r="A130" s="5"/>
      <c r="B130" s="5" t="str">
        <f aca="false">IF(A130="","",IFERROR(INDEX(Clients!$B:$B,MATCH(A130,Clients!$A:$A,0)),"Check client ID"))</f>
        <v/>
      </c>
      <c r="C130" s="5"/>
      <c r="D130" s="13"/>
      <c r="E130" s="13" t="str">
        <f aca="false">IF(D130="","",D130-14)</f>
        <v/>
      </c>
      <c r="F130" s="5" t="str">
        <f aca="true">IF(D130="","",D130-TODAY())</f>
        <v/>
      </c>
      <c r="G130" s="5"/>
    </row>
    <row r="131" customFormat="false" ht="15" hidden="false" customHeight="false" outlineLevel="0" collapsed="false">
      <c r="A131" s="5"/>
      <c r="B131" s="5" t="str">
        <f aca="false">IF(A131="","",IFERROR(INDEX(Clients!$B:$B,MATCH(A131,Clients!$A:$A,0)),"Check client ID"))</f>
        <v/>
      </c>
      <c r="C131" s="5"/>
      <c r="D131" s="13"/>
      <c r="E131" s="13" t="str">
        <f aca="false">IF(D131="","",D131-14)</f>
        <v/>
      </c>
      <c r="F131" s="5" t="str">
        <f aca="true">IF(D131="","",D131-TODAY())</f>
        <v/>
      </c>
      <c r="G131" s="5"/>
    </row>
    <row r="132" customFormat="false" ht="15" hidden="false" customHeight="false" outlineLevel="0" collapsed="false">
      <c r="A132" s="5"/>
      <c r="B132" s="5" t="str">
        <f aca="false">IF(A132="","",IFERROR(INDEX(Clients!$B:$B,MATCH(A132,Clients!$A:$A,0)),"Check client ID"))</f>
        <v/>
      </c>
      <c r="C132" s="5"/>
      <c r="D132" s="13"/>
      <c r="E132" s="13" t="str">
        <f aca="false">IF(D132="","",D132-14)</f>
        <v/>
      </c>
      <c r="F132" s="5" t="str">
        <f aca="true">IF(D132="","",D132-TODAY())</f>
        <v/>
      </c>
      <c r="G132" s="5"/>
    </row>
    <row r="133" customFormat="false" ht="15" hidden="false" customHeight="false" outlineLevel="0" collapsed="false">
      <c r="A133" s="5"/>
      <c r="B133" s="5" t="str">
        <f aca="false">IF(A133="","",IFERROR(INDEX(Clients!$B:$B,MATCH(A133,Clients!$A:$A,0)),"Check client ID"))</f>
        <v/>
      </c>
      <c r="C133" s="5"/>
      <c r="D133" s="13"/>
      <c r="E133" s="13" t="str">
        <f aca="false">IF(D133="","",D133-14)</f>
        <v/>
      </c>
      <c r="F133" s="5" t="str">
        <f aca="true">IF(D133="","",D133-TODAY())</f>
        <v/>
      </c>
      <c r="G133" s="5"/>
    </row>
    <row r="134" customFormat="false" ht="15" hidden="false" customHeight="false" outlineLevel="0" collapsed="false">
      <c r="A134" s="5"/>
      <c r="B134" s="5" t="str">
        <f aca="false">IF(A134="","",IFERROR(INDEX(Clients!$B:$B,MATCH(A134,Clients!$A:$A,0)),"Check client ID"))</f>
        <v/>
      </c>
      <c r="C134" s="5"/>
      <c r="D134" s="13"/>
      <c r="E134" s="13" t="str">
        <f aca="false">IF(D134="","",D134-14)</f>
        <v/>
      </c>
      <c r="F134" s="5" t="str">
        <f aca="true">IF(D134="","",D134-TODAY())</f>
        <v/>
      </c>
      <c r="G134" s="5"/>
    </row>
    <row r="135" customFormat="false" ht="15" hidden="false" customHeight="false" outlineLevel="0" collapsed="false">
      <c r="A135" s="5"/>
      <c r="B135" s="5" t="str">
        <f aca="false">IF(A135="","",IFERROR(INDEX(Clients!$B:$B,MATCH(A135,Clients!$A:$A,0)),"Check client ID"))</f>
        <v/>
      </c>
      <c r="C135" s="5"/>
      <c r="D135" s="13"/>
      <c r="E135" s="13" t="str">
        <f aca="false">IF(D135="","",D135-14)</f>
        <v/>
      </c>
      <c r="F135" s="5" t="str">
        <f aca="true">IF(D135="","",D135-TODAY())</f>
        <v/>
      </c>
      <c r="G135" s="5"/>
    </row>
    <row r="136" customFormat="false" ht="15" hidden="false" customHeight="false" outlineLevel="0" collapsed="false">
      <c r="A136" s="5"/>
      <c r="B136" s="5" t="str">
        <f aca="false">IF(A136="","",IFERROR(INDEX(Clients!$B:$B,MATCH(A136,Clients!$A:$A,0)),"Check client ID"))</f>
        <v/>
      </c>
      <c r="C136" s="5"/>
      <c r="D136" s="13"/>
      <c r="E136" s="13" t="str">
        <f aca="false">IF(D136="","",D136-14)</f>
        <v/>
      </c>
      <c r="F136" s="5" t="str">
        <f aca="true">IF(D136="","",D136-TODAY())</f>
        <v/>
      </c>
      <c r="G136" s="5"/>
    </row>
    <row r="137" customFormat="false" ht="15" hidden="false" customHeight="false" outlineLevel="0" collapsed="false">
      <c r="A137" s="5"/>
      <c r="B137" s="5" t="str">
        <f aca="false">IF(A137="","",IFERROR(INDEX(Clients!$B:$B,MATCH(A137,Clients!$A:$A,0)),"Check client ID"))</f>
        <v/>
      </c>
      <c r="C137" s="5"/>
      <c r="D137" s="13"/>
      <c r="E137" s="13" t="str">
        <f aca="false">IF(D137="","",D137-14)</f>
        <v/>
      </c>
      <c r="F137" s="5" t="str">
        <f aca="true">IF(D137="","",D137-TODAY())</f>
        <v/>
      </c>
      <c r="G137" s="5"/>
    </row>
    <row r="138" customFormat="false" ht="15" hidden="false" customHeight="false" outlineLevel="0" collapsed="false">
      <c r="A138" s="5"/>
      <c r="B138" s="5" t="str">
        <f aca="false">IF(A138="","",IFERROR(INDEX(Clients!$B:$B,MATCH(A138,Clients!$A:$A,0)),"Check client ID"))</f>
        <v/>
      </c>
      <c r="C138" s="5"/>
      <c r="D138" s="13"/>
      <c r="E138" s="13" t="str">
        <f aca="false">IF(D138="","",D138-14)</f>
        <v/>
      </c>
      <c r="F138" s="5" t="str">
        <f aca="true">IF(D138="","",D138-TODAY())</f>
        <v/>
      </c>
      <c r="G138" s="5"/>
    </row>
    <row r="139" customFormat="false" ht="15" hidden="false" customHeight="false" outlineLevel="0" collapsed="false">
      <c r="A139" s="5"/>
      <c r="B139" s="5" t="str">
        <f aca="false">IF(A139="","",IFERROR(INDEX(Clients!$B:$B,MATCH(A139,Clients!$A:$A,0)),"Check client ID"))</f>
        <v/>
      </c>
      <c r="C139" s="5"/>
      <c r="D139" s="13"/>
      <c r="E139" s="13" t="str">
        <f aca="false">IF(D139="","",D139-14)</f>
        <v/>
      </c>
      <c r="F139" s="5" t="str">
        <f aca="true">IF(D139="","",D139-TODAY())</f>
        <v/>
      </c>
      <c r="G139" s="5"/>
    </row>
    <row r="140" customFormat="false" ht="15" hidden="false" customHeight="false" outlineLevel="0" collapsed="false">
      <c r="A140" s="5"/>
      <c r="B140" s="5" t="str">
        <f aca="false">IF(A140="","",IFERROR(INDEX(Clients!$B:$B,MATCH(A140,Clients!$A:$A,0)),"Check client ID"))</f>
        <v/>
      </c>
      <c r="C140" s="5"/>
      <c r="D140" s="13"/>
      <c r="E140" s="13" t="str">
        <f aca="false">IF(D140="","",D140-14)</f>
        <v/>
      </c>
      <c r="F140" s="5" t="str">
        <f aca="true">IF(D140="","",D140-TODAY())</f>
        <v/>
      </c>
      <c r="G140" s="5"/>
    </row>
    <row r="141" customFormat="false" ht="15" hidden="false" customHeight="false" outlineLevel="0" collapsed="false">
      <c r="A141" s="5"/>
      <c r="B141" s="5" t="str">
        <f aca="false">IF(A141="","",IFERROR(INDEX(Clients!$B:$B,MATCH(A141,Clients!$A:$A,0)),"Check client ID"))</f>
        <v/>
      </c>
      <c r="C141" s="5"/>
      <c r="D141" s="13"/>
      <c r="E141" s="13" t="str">
        <f aca="false">IF(D141="","",D141-14)</f>
        <v/>
      </c>
      <c r="F141" s="5" t="str">
        <f aca="true">IF(D141="","",D141-TODAY())</f>
        <v/>
      </c>
      <c r="G141" s="5"/>
    </row>
    <row r="142" customFormat="false" ht="15" hidden="false" customHeight="false" outlineLevel="0" collapsed="false">
      <c r="A142" s="5"/>
      <c r="B142" s="5" t="str">
        <f aca="false">IF(A142="","",IFERROR(INDEX(Clients!$B:$B,MATCH(A142,Clients!$A:$A,0)),"Check client ID"))</f>
        <v/>
      </c>
      <c r="C142" s="5"/>
      <c r="D142" s="13"/>
      <c r="E142" s="13" t="str">
        <f aca="false">IF(D142="","",D142-14)</f>
        <v/>
      </c>
      <c r="F142" s="5" t="str">
        <f aca="true">IF(D142="","",D142-TODAY())</f>
        <v/>
      </c>
      <c r="G142" s="5"/>
    </row>
    <row r="143" customFormat="false" ht="15" hidden="false" customHeight="false" outlineLevel="0" collapsed="false">
      <c r="A143" s="5"/>
      <c r="B143" s="5" t="str">
        <f aca="false">IF(A143="","",IFERROR(INDEX(Clients!$B:$B,MATCH(A143,Clients!$A:$A,0)),"Check client ID"))</f>
        <v/>
      </c>
      <c r="C143" s="5"/>
      <c r="D143" s="13"/>
      <c r="E143" s="13" t="str">
        <f aca="false">IF(D143="","",D143-14)</f>
        <v/>
      </c>
      <c r="F143" s="5" t="str">
        <f aca="true">IF(D143="","",D143-TODAY())</f>
        <v/>
      </c>
      <c r="G143" s="5"/>
    </row>
    <row r="144" customFormat="false" ht="15" hidden="false" customHeight="false" outlineLevel="0" collapsed="false">
      <c r="A144" s="5"/>
      <c r="B144" s="5" t="str">
        <f aca="false">IF(A144="","",IFERROR(INDEX(Clients!$B:$B,MATCH(A144,Clients!$A:$A,0)),"Check client ID"))</f>
        <v/>
      </c>
      <c r="C144" s="5"/>
      <c r="D144" s="13"/>
      <c r="E144" s="13" t="str">
        <f aca="false">IF(D144="","",D144-14)</f>
        <v/>
      </c>
      <c r="F144" s="5" t="str">
        <f aca="true">IF(D144="","",D144-TODAY())</f>
        <v/>
      </c>
      <c r="G144" s="5"/>
    </row>
    <row r="145" customFormat="false" ht="15" hidden="false" customHeight="false" outlineLevel="0" collapsed="false">
      <c r="A145" s="5"/>
      <c r="B145" s="5" t="str">
        <f aca="false">IF(A145="","",IFERROR(INDEX(Clients!$B:$B,MATCH(A145,Clients!$A:$A,0)),"Check client ID"))</f>
        <v/>
      </c>
      <c r="C145" s="5"/>
      <c r="D145" s="13"/>
      <c r="E145" s="13" t="str">
        <f aca="false">IF(D145="","",D145-14)</f>
        <v/>
      </c>
      <c r="F145" s="5" t="str">
        <f aca="true">IF(D145="","",D145-TODAY())</f>
        <v/>
      </c>
      <c r="G145" s="5"/>
    </row>
    <row r="146" customFormat="false" ht="15" hidden="false" customHeight="false" outlineLevel="0" collapsed="false">
      <c r="A146" s="5"/>
      <c r="B146" s="5" t="str">
        <f aca="false">IF(A146="","",IFERROR(INDEX(Clients!$B:$B,MATCH(A146,Clients!$A:$A,0)),"Check client ID"))</f>
        <v/>
      </c>
      <c r="C146" s="5"/>
      <c r="D146" s="13"/>
      <c r="E146" s="13" t="str">
        <f aca="false">IF(D146="","",D146-14)</f>
        <v/>
      </c>
      <c r="F146" s="5" t="str">
        <f aca="true">IF(D146="","",D146-TODAY())</f>
        <v/>
      </c>
      <c r="G146" s="5"/>
    </row>
    <row r="147" customFormat="false" ht="15" hidden="false" customHeight="false" outlineLevel="0" collapsed="false">
      <c r="A147" s="5"/>
      <c r="B147" s="5" t="str">
        <f aca="false">IF(A147="","",IFERROR(INDEX(Clients!$B:$B,MATCH(A147,Clients!$A:$A,0)),"Check client ID"))</f>
        <v/>
      </c>
      <c r="C147" s="5"/>
      <c r="D147" s="13"/>
      <c r="E147" s="13" t="str">
        <f aca="false">IF(D147="","",D147-14)</f>
        <v/>
      </c>
      <c r="F147" s="5" t="str">
        <f aca="true">IF(D147="","",D147-TODAY())</f>
        <v/>
      </c>
      <c r="G147" s="5"/>
    </row>
    <row r="148" customFormat="false" ht="15" hidden="false" customHeight="false" outlineLevel="0" collapsed="false">
      <c r="A148" s="5"/>
      <c r="B148" s="5" t="str">
        <f aca="false">IF(A148="","",IFERROR(INDEX(Clients!$B:$B,MATCH(A148,Clients!$A:$A,0)),"Check client ID"))</f>
        <v/>
      </c>
      <c r="C148" s="5"/>
      <c r="D148" s="13"/>
      <c r="E148" s="13" t="str">
        <f aca="false">IF(D148="","",D148-14)</f>
        <v/>
      </c>
      <c r="F148" s="5" t="str">
        <f aca="true">IF(D148="","",D148-TODAY())</f>
        <v/>
      </c>
      <c r="G148" s="5"/>
    </row>
    <row r="149" customFormat="false" ht="15" hidden="false" customHeight="false" outlineLevel="0" collapsed="false">
      <c r="A149" s="5"/>
      <c r="B149" s="5" t="str">
        <f aca="false">IF(A149="","",IFERROR(INDEX(Clients!$B:$B,MATCH(A149,Clients!$A:$A,0)),"Check client ID"))</f>
        <v/>
      </c>
      <c r="C149" s="5"/>
      <c r="D149" s="13"/>
      <c r="E149" s="13" t="str">
        <f aca="false">IF(D149="","",D149-14)</f>
        <v/>
      </c>
      <c r="F149" s="5" t="str">
        <f aca="true">IF(D149="","",D149-TODAY())</f>
        <v/>
      </c>
      <c r="G149" s="5"/>
    </row>
    <row r="150" customFormat="false" ht="15" hidden="false" customHeight="false" outlineLevel="0" collapsed="false">
      <c r="A150" s="5"/>
      <c r="B150" s="5" t="str">
        <f aca="false">IF(A150="","",IFERROR(INDEX(Clients!$B:$B,MATCH(A150,Clients!$A:$A,0)),"Check client ID"))</f>
        <v/>
      </c>
      <c r="C150" s="5"/>
      <c r="D150" s="13"/>
      <c r="E150" s="13" t="str">
        <f aca="false">IF(D150="","",D150-14)</f>
        <v/>
      </c>
      <c r="F150" s="5" t="str">
        <f aca="true">IF(D150="","",D150-TODAY())</f>
        <v/>
      </c>
      <c r="G150" s="5"/>
    </row>
    <row r="151" customFormat="false" ht="15" hidden="false" customHeight="false" outlineLevel="0" collapsed="false">
      <c r="A151" s="5"/>
      <c r="B151" s="5" t="str">
        <f aca="false">IF(A151="","",IFERROR(INDEX(Clients!$B:$B,MATCH(A151,Clients!$A:$A,0)),"Check client ID"))</f>
        <v/>
      </c>
      <c r="C151" s="5"/>
      <c r="D151" s="13"/>
      <c r="E151" s="13" t="str">
        <f aca="false">IF(D151="","",D151-14)</f>
        <v/>
      </c>
      <c r="F151" s="5" t="str">
        <f aca="true">IF(D151="","",D151-TODAY())</f>
        <v/>
      </c>
      <c r="G151" s="5"/>
    </row>
    <row r="152" customFormat="false" ht="15" hidden="false" customHeight="false" outlineLevel="0" collapsed="false">
      <c r="A152" s="5"/>
      <c r="B152" s="5" t="str">
        <f aca="false">IF(A152="","",IFERROR(INDEX(Clients!$B:$B,MATCH(A152,Clients!$A:$A,0)),"Check client ID"))</f>
        <v/>
      </c>
      <c r="C152" s="5"/>
      <c r="D152" s="13"/>
      <c r="E152" s="13" t="str">
        <f aca="false">IF(D152="","",D152-14)</f>
        <v/>
      </c>
      <c r="F152" s="5" t="str">
        <f aca="true">IF(D152="","",D152-TODAY())</f>
        <v/>
      </c>
      <c r="G152" s="5"/>
    </row>
    <row r="153" customFormat="false" ht="15" hidden="false" customHeight="false" outlineLevel="0" collapsed="false">
      <c r="A153" s="5"/>
      <c r="B153" s="5" t="str">
        <f aca="false">IF(A153="","",IFERROR(INDEX(Clients!$B:$B,MATCH(A153,Clients!$A:$A,0)),"Check client ID"))</f>
        <v/>
      </c>
      <c r="C153" s="5"/>
      <c r="D153" s="13"/>
      <c r="E153" s="13" t="str">
        <f aca="false">IF(D153="","",D153-14)</f>
        <v/>
      </c>
      <c r="F153" s="5" t="str">
        <f aca="true">IF(D153="","",D153-TODAY())</f>
        <v/>
      </c>
      <c r="G153" s="5"/>
    </row>
    <row r="154" customFormat="false" ht="15" hidden="false" customHeight="false" outlineLevel="0" collapsed="false">
      <c r="A154" s="5"/>
      <c r="B154" s="5" t="str">
        <f aca="false">IF(A154="","",IFERROR(INDEX(Clients!$B:$B,MATCH(A154,Clients!$A:$A,0)),"Check client ID"))</f>
        <v/>
      </c>
      <c r="C154" s="5"/>
      <c r="D154" s="13"/>
      <c r="E154" s="13" t="str">
        <f aca="false">IF(D154="","",D154-14)</f>
        <v/>
      </c>
      <c r="F154" s="5" t="str">
        <f aca="true">IF(D154="","",D154-TODAY())</f>
        <v/>
      </c>
      <c r="G154" s="5"/>
    </row>
    <row r="155" customFormat="false" ht="15" hidden="false" customHeight="false" outlineLevel="0" collapsed="false">
      <c r="A155" s="5"/>
      <c r="B155" s="5" t="str">
        <f aca="false">IF(A155="","",IFERROR(INDEX(Clients!$B:$B,MATCH(A155,Clients!$A:$A,0)),"Check client ID"))</f>
        <v/>
      </c>
      <c r="C155" s="5"/>
      <c r="D155" s="13"/>
      <c r="E155" s="13" t="str">
        <f aca="false">IF(D155="","",D155-14)</f>
        <v/>
      </c>
      <c r="F155" s="5" t="str">
        <f aca="true">IF(D155="","",D155-TODAY())</f>
        <v/>
      </c>
      <c r="G155" s="5"/>
    </row>
    <row r="156" customFormat="false" ht="15" hidden="false" customHeight="false" outlineLevel="0" collapsed="false">
      <c r="A156" s="5"/>
      <c r="B156" s="5" t="str">
        <f aca="false">IF(A156="","",IFERROR(INDEX(Clients!$B:$B,MATCH(A156,Clients!$A:$A,0)),"Check client ID"))</f>
        <v/>
      </c>
      <c r="C156" s="5"/>
      <c r="D156" s="13"/>
      <c r="E156" s="13" t="str">
        <f aca="false">IF(D156="","",D156-14)</f>
        <v/>
      </c>
      <c r="F156" s="5" t="str">
        <f aca="true">IF(D156="","",D156-TODAY())</f>
        <v/>
      </c>
      <c r="G156" s="5"/>
    </row>
    <row r="157" customFormat="false" ht="15" hidden="false" customHeight="false" outlineLevel="0" collapsed="false">
      <c r="A157" s="5"/>
      <c r="B157" s="5" t="str">
        <f aca="false">IF(A157="","",IFERROR(INDEX(Clients!$B:$B,MATCH(A157,Clients!$A:$A,0)),"Check client ID"))</f>
        <v/>
      </c>
      <c r="C157" s="5"/>
      <c r="D157" s="13"/>
      <c r="E157" s="13" t="str">
        <f aca="false">IF(D157="","",D157-14)</f>
        <v/>
      </c>
      <c r="F157" s="5" t="str">
        <f aca="true">IF(D157="","",D157-TODAY())</f>
        <v/>
      </c>
      <c r="G157" s="5"/>
    </row>
    <row r="158" customFormat="false" ht="15" hidden="false" customHeight="false" outlineLevel="0" collapsed="false">
      <c r="A158" s="5"/>
      <c r="B158" s="5" t="str">
        <f aca="false">IF(A158="","",IFERROR(INDEX(Clients!$B:$B,MATCH(A158,Clients!$A:$A,0)),"Check client ID"))</f>
        <v/>
      </c>
      <c r="C158" s="5"/>
      <c r="D158" s="13"/>
      <c r="E158" s="13" t="str">
        <f aca="false">IF(D158="","",D158-14)</f>
        <v/>
      </c>
      <c r="F158" s="5" t="str">
        <f aca="true">IF(D158="","",D158-TODAY())</f>
        <v/>
      </c>
      <c r="G158" s="5"/>
    </row>
    <row r="159" customFormat="false" ht="15" hidden="false" customHeight="false" outlineLevel="0" collapsed="false">
      <c r="A159" s="5"/>
      <c r="B159" s="5" t="str">
        <f aca="false">IF(A159="","",IFERROR(INDEX(Clients!$B:$B,MATCH(A159,Clients!$A:$A,0)),"Check client ID"))</f>
        <v/>
      </c>
      <c r="C159" s="5"/>
      <c r="D159" s="13"/>
      <c r="E159" s="13" t="str">
        <f aca="false">IF(D159="","",D159-14)</f>
        <v/>
      </c>
      <c r="F159" s="5" t="str">
        <f aca="true">IF(D159="","",D159-TODAY())</f>
        <v/>
      </c>
      <c r="G159" s="5"/>
    </row>
    <row r="160" customFormat="false" ht="15" hidden="false" customHeight="false" outlineLevel="0" collapsed="false">
      <c r="A160" s="5"/>
      <c r="B160" s="5" t="str">
        <f aca="false">IF(A160="","",IFERROR(INDEX(Clients!$B:$B,MATCH(A160,Clients!$A:$A,0)),"Check client ID"))</f>
        <v/>
      </c>
      <c r="C160" s="5"/>
      <c r="D160" s="13"/>
      <c r="E160" s="13" t="str">
        <f aca="false">IF(D160="","",D160-14)</f>
        <v/>
      </c>
      <c r="F160" s="5" t="str">
        <f aca="true">IF(D160="","",D160-TODAY())</f>
        <v/>
      </c>
      <c r="G160" s="5"/>
    </row>
    <row r="161" customFormat="false" ht="15" hidden="false" customHeight="false" outlineLevel="0" collapsed="false">
      <c r="A161" s="5"/>
      <c r="B161" s="5" t="str">
        <f aca="false">IF(A161="","",IFERROR(INDEX(Clients!$B:$B,MATCH(A161,Clients!$A:$A,0)),"Check client ID"))</f>
        <v/>
      </c>
      <c r="C161" s="5"/>
      <c r="D161" s="13"/>
      <c r="E161" s="13" t="str">
        <f aca="false">IF(D161="","",D161-14)</f>
        <v/>
      </c>
      <c r="F161" s="5" t="str">
        <f aca="true">IF(D161="","",D161-TODAY())</f>
        <v/>
      </c>
      <c r="G161" s="5"/>
    </row>
    <row r="162" customFormat="false" ht="15" hidden="false" customHeight="false" outlineLevel="0" collapsed="false">
      <c r="A162" s="5"/>
      <c r="B162" s="5" t="str">
        <f aca="false">IF(A162="","",IFERROR(INDEX(Clients!$B:$B,MATCH(A162,Clients!$A:$A,0)),"Check client ID"))</f>
        <v/>
      </c>
      <c r="C162" s="5"/>
      <c r="D162" s="13"/>
      <c r="E162" s="13" t="str">
        <f aca="false">IF(D162="","",D162-14)</f>
        <v/>
      </c>
      <c r="F162" s="5" t="str">
        <f aca="true">IF(D162="","",D162-TODAY())</f>
        <v/>
      </c>
      <c r="G162" s="5"/>
    </row>
    <row r="163" customFormat="false" ht="15" hidden="false" customHeight="false" outlineLevel="0" collapsed="false">
      <c r="A163" s="5"/>
      <c r="B163" s="5" t="str">
        <f aca="false">IF(A163="","",IFERROR(INDEX(Clients!$B:$B,MATCH(A163,Clients!$A:$A,0)),"Check client ID"))</f>
        <v/>
      </c>
      <c r="C163" s="5"/>
      <c r="D163" s="13"/>
      <c r="E163" s="13" t="str">
        <f aca="false">IF(D163="","",D163-14)</f>
        <v/>
      </c>
      <c r="F163" s="5" t="str">
        <f aca="true">IF(D163="","",D163-TODAY())</f>
        <v/>
      </c>
      <c r="G163" s="5"/>
    </row>
    <row r="164" customFormat="false" ht="15" hidden="false" customHeight="false" outlineLevel="0" collapsed="false">
      <c r="A164" s="5"/>
      <c r="B164" s="5" t="str">
        <f aca="false">IF(A164="","",IFERROR(INDEX(Clients!$B:$B,MATCH(A164,Clients!$A:$A,0)),"Check client ID"))</f>
        <v/>
      </c>
      <c r="C164" s="5"/>
      <c r="D164" s="13"/>
      <c r="E164" s="13" t="str">
        <f aca="false">IF(D164="","",D164-14)</f>
        <v/>
      </c>
      <c r="F164" s="5" t="str">
        <f aca="true">IF(D164="","",D164-TODAY())</f>
        <v/>
      </c>
      <c r="G164" s="5"/>
    </row>
    <row r="165" customFormat="false" ht="15" hidden="false" customHeight="false" outlineLevel="0" collapsed="false">
      <c r="A165" s="5"/>
      <c r="B165" s="5" t="str">
        <f aca="false">IF(A165="","",IFERROR(INDEX(Clients!$B:$B,MATCH(A165,Clients!$A:$A,0)),"Check client ID"))</f>
        <v/>
      </c>
      <c r="C165" s="5"/>
      <c r="D165" s="13"/>
      <c r="E165" s="13" t="str">
        <f aca="false">IF(D165="","",D165-14)</f>
        <v/>
      </c>
      <c r="F165" s="5" t="str">
        <f aca="true">IF(D165="","",D165-TODAY())</f>
        <v/>
      </c>
      <c r="G165" s="5"/>
    </row>
    <row r="166" customFormat="false" ht="15" hidden="false" customHeight="false" outlineLevel="0" collapsed="false">
      <c r="A166" s="5"/>
      <c r="B166" s="5" t="str">
        <f aca="false">IF(A166="","",IFERROR(INDEX(Clients!$B:$B,MATCH(A166,Clients!$A:$A,0)),"Check client ID"))</f>
        <v/>
      </c>
      <c r="C166" s="5"/>
      <c r="D166" s="13"/>
      <c r="E166" s="13" t="str">
        <f aca="false">IF(D166="","",D166-14)</f>
        <v/>
      </c>
      <c r="F166" s="5" t="str">
        <f aca="true">IF(D166="","",D166-TODAY())</f>
        <v/>
      </c>
      <c r="G166" s="5"/>
    </row>
    <row r="167" customFormat="false" ht="15" hidden="false" customHeight="false" outlineLevel="0" collapsed="false">
      <c r="A167" s="5"/>
      <c r="B167" s="5" t="str">
        <f aca="false">IF(A167="","",IFERROR(INDEX(Clients!$B:$B,MATCH(A167,Clients!$A:$A,0)),"Check client ID"))</f>
        <v/>
      </c>
      <c r="C167" s="5"/>
      <c r="D167" s="13"/>
      <c r="E167" s="13" t="str">
        <f aca="false">IF(D167="","",D167-14)</f>
        <v/>
      </c>
      <c r="F167" s="5" t="str">
        <f aca="true">IF(D167="","",D167-TODAY())</f>
        <v/>
      </c>
      <c r="G167" s="5"/>
    </row>
    <row r="168" customFormat="false" ht="15" hidden="false" customHeight="false" outlineLevel="0" collapsed="false">
      <c r="A168" s="5"/>
      <c r="B168" s="5" t="str">
        <f aca="false">IF(A168="","",IFERROR(INDEX(Clients!$B:$B,MATCH(A168,Clients!$A:$A,0)),"Check client ID"))</f>
        <v/>
      </c>
      <c r="C168" s="5"/>
      <c r="D168" s="13"/>
      <c r="E168" s="13" t="str">
        <f aca="false">IF(D168="","",D168-14)</f>
        <v/>
      </c>
      <c r="F168" s="5" t="str">
        <f aca="true">IF(D168="","",D168-TODAY())</f>
        <v/>
      </c>
      <c r="G168" s="5"/>
    </row>
    <row r="169" customFormat="false" ht="15" hidden="false" customHeight="false" outlineLevel="0" collapsed="false">
      <c r="A169" s="5"/>
      <c r="B169" s="5" t="str">
        <f aca="false">IF(A169="","",IFERROR(INDEX(Clients!$B:$B,MATCH(A169,Clients!$A:$A,0)),"Check client ID"))</f>
        <v/>
      </c>
      <c r="C169" s="5"/>
      <c r="D169" s="13"/>
      <c r="E169" s="13" t="str">
        <f aca="false">IF(D169="","",D169-14)</f>
        <v/>
      </c>
      <c r="F169" s="5" t="str">
        <f aca="true">IF(D169="","",D169-TODAY())</f>
        <v/>
      </c>
      <c r="G169" s="5"/>
    </row>
    <row r="170" customFormat="false" ht="15" hidden="false" customHeight="false" outlineLevel="0" collapsed="false">
      <c r="A170" s="5"/>
      <c r="B170" s="5" t="str">
        <f aca="false">IF(A170="","",IFERROR(INDEX(Clients!$B:$B,MATCH(A170,Clients!$A:$A,0)),"Check client ID"))</f>
        <v/>
      </c>
      <c r="C170" s="5"/>
      <c r="D170" s="13"/>
      <c r="E170" s="13" t="str">
        <f aca="false">IF(D170="","",D170-14)</f>
        <v/>
      </c>
      <c r="F170" s="5" t="str">
        <f aca="true">IF(D170="","",D170-TODAY())</f>
        <v/>
      </c>
      <c r="G170" s="5"/>
    </row>
    <row r="171" customFormat="false" ht="15" hidden="false" customHeight="false" outlineLevel="0" collapsed="false">
      <c r="A171" s="5"/>
      <c r="B171" s="5" t="str">
        <f aca="false">IF(A171="","",IFERROR(INDEX(Clients!$B:$B,MATCH(A171,Clients!$A:$A,0)),"Check client ID"))</f>
        <v/>
      </c>
      <c r="C171" s="5"/>
      <c r="D171" s="13"/>
      <c r="E171" s="13" t="str">
        <f aca="false">IF(D171="","",D171-14)</f>
        <v/>
      </c>
      <c r="F171" s="5" t="str">
        <f aca="true">IF(D171="","",D171-TODAY())</f>
        <v/>
      </c>
      <c r="G171" s="5"/>
    </row>
    <row r="172" customFormat="false" ht="15" hidden="false" customHeight="false" outlineLevel="0" collapsed="false">
      <c r="A172" s="5"/>
      <c r="B172" s="5" t="str">
        <f aca="false">IF(A172="","",IFERROR(INDEX(Clients!$B:$B,MATCH(A172,Clients!$A:$A,0)),"Check client ID"))</f>
        <v/>
      </c>
      <c r="C172" s="5"/>
      <c r="D172" s="13"/>
      <c r="E172" s="13" t="str">
        <f aca="false">IF(D172="","",D172-14)</f>
        <v/>
      </c>
      <c r="F172" s="5" t="str">
        <f aca="true">IF(D172="","",D172-TODAY())</f>
        <v/>
      </c>
      <c r="G172" s="5"/>
    </row>
    <row r="173" customFormat="false" ht="15" hidden="false" customHeight="false" outlineLevel="0" collapsed="false">
      <c r="A173" s="5"/>
      <c r="B173" s="5" t="str">
        <f aca="false">IF(A173="","",IFERROR(INDEX(Clients!$B:$B,MATCH(A173,Clients!$A:$A,0)),"Check client ID"))</f>
        <v/>
      </c>
      <c r="C173" s="5"/>
      <c r="D173" s="13"/>
      <c r="E173" s="13" t="str">
        <f aca="false">IF(D173="","",D173-14)</f>
        <v/>
      </c>
      <c r="F173" s="5" t="str">
        <f aca="true">IF(D173="","",D173-TODAY())</f>
        <v/>
      </c>
      <c r="G173" s="5"/>
    </row>
    <row r="174" customFormat="false" ht="15" hidden="false" customHeight="false" outlineLevel="0" collapsed="false">
      <c r="A174" s="5"/>
      <c r="B174" s="5" t="str">
        <f aca="false">IF(A174="","",IFERROR(INDEX(Clients!$B:$B,MATCH(A174,Clients!$A:$A,0)),"Check client ID"))</f>
        <v/>
      </c>
      <c r="C174" s="5"/>
      <c r="D174" s="13"/>
      <c r="E174" s="13" t="str">
        <f aca="false">IF(D174="","",D174-14)</f>
        <v/>
      </c>
      <c r="F174" s="5" t="str">
        <f aca="true">IF(D174="","",D174-TODAY())</f>
        <v/>
      </c>
      <c r="G174" s="5"/>
    </row>
    <row r="175" customFormat="false" ht="15" hidden="false" customHeight="false" outlineLevel="0" collapsed="false">
      <c r="A175" s="5"/>
      <c r="B175" s="5" t="str">
        <f aca="false">IF(A175="","",IFERROR(INDEX(Clients!$B:$B,MATCH(A175,Clients!$A:$A,0)),"Check client ID"))</f>
        <v/>
      </c>
      <c r="C175" s="5"/>
      <c r="D175" s="13"/>
      <c r="E175" s="13" t="str">
        <f aca="false">IF(D175="","",D175-14)</f>
        <v/>
      </c>
      <c r="F175" s="5" t="str">
        <f aca="true">IF(D175="","",D175-TODAY())</f>
        <v/>
      </c>
      <c r="G175" s="5"/>
    </row>
    <row r="176" customFormat="false" ht="15" hidden="false" customHeight="false" outlineLevel="0" collapsed="false">
      <c r="A176" s="5"/>
      <c r="B176" s="5" t="str">
        <f aca="false">IF(A176="","",IFERROR(INDEX(Clients!$B:$B,MATCH(A176,Clients!$A:$A,0)),"Check client ID"))</f>
        <v/>
      </c>
      <c r="C176" s="5"/>
      <c r="D176" s="13"/>
      <c r="E176" s="13" t="str">
        <f aca="false">IF(D176="","",D176-14)</f>
        <v/>
      </c>
      <c r="F176" s="5" t="str">
        <f aca="true">IF(D176="","",D176-TODAY())</f>
        <v/>
      </c>
      <c r="G176" s="5"/>
    </row>
    <row r="177" customFormat="false" ht="15" hidden="false" customHeight="false" outlineLevel="0" collapsed="false">
      <c r="A177" s="5"/>
      <c r="B177" s="5" t="str">
        <f aca="false">IF(A177="","",IFERROR(INDEX(Clients!$B:$B,MATCH(A177,Clients!$A:$A,0)),"Check client ID"))</f>
        <v/>
      </c>
      <c r="C177" s="5"/>
      <c r="D177" s="13"/>
      <c r="E177" s="13" t="str">
        <f aca="false">IF(D177="","",D177-14)</f>
        <v/>
      </c>
      <c r="F177" s="5" t="str">
        <f aca="true">IF(D177="","",D177-TODAY())</f>
        <v/>
      </c>
      <c r="G177" s="5"/>
    </row>
    <row r="178" customFormat="false" ht="15" hidden="false" customHeight="false" outlineLevel="0" collapsed="false">
      <c r="A178" s="5"/>
      <c r="B178" s="5" t="str">
        <f aca="false">IF(A178="","",IFERROR(INDEX(Clients!$B:$B,MATCH(A178,Clients!$A:$A,0)),"Check client ID"))</f>
        <v/>
      </c>
      <c r="C178" s="5"/>
      <c r="D178" s="13"/>
      <c r="E178" s="13" t="str">
        <f aca="false">IF(D178="","",D178-14)</f>
        <v/>
      </c>
      <c r="F178" s="5" t="str">
        <f aca="true">IF(D178="","",D178-TODAY())</f>
        <v/>
      </c>
      <c r="G178" s="5"/>
    </row>
    <row r="179" customFormat="false" ht="15" hidden="false" customHeight="false" outlineLevel="0" collapsed="false">
      <c r="A179" s="5"/>
      <c r="B179" s="5" t="str">
        <f aca="false">IF(A179="","",IFERROR(INDEX(Clients!$B:$B,MATCH(A179,Clients!$A:$A,0)),"Check client ID"))</f>
        <v/>
      </c>
      <c r="C179" s="5"/>
      <c r="D179" s="13"/>
      <c r="E179" s="13" t="str">
        <f aca="false">IF(D179="","",D179-14)</f>
        <v/>
      </c>
      <c r="F179" s="5" t="str">
        <f aca="true">IF(D179="","",D179-TODAY())</f>
        <v/>
      </c>
      <c r="G179" s="5"/>
    </row>
    <row r="180" customFormat="false" ht="15" hidden="false" customHeight="false" outlineLevel="0" collapsed="false">
      <c r="A180" s="5"/>
      <c r="B180" s="5" t="str">
        <f aca="false">IF(A180="","",IFERROR(INDEX(Clients!$B:$B,MATCH(A180,Clients!$A:$A,0)),"Check client ID"))</f>
        <v/>
      </c>
      <c r="C180" s="5"/>
      <c r="D180" s="13"/>
      <c r="E180" s="13" t="str">
        <f aca="false">IF(D180="","",D180-14)</f>
        <v/>
      </c>
      <c r="F180" s="5" t="str">
        <f aca="true">IF(D180="","",D180-TODAY())</f>
        <v/>
      </c>
      <c r="G180" s="5"/>
    </row>
    <row r="181" customFormat="false" ht="15" hidden="false" customHeight="false" outlineLevel="0" collapsed="false">
      <c r="A181" s="5"/>
      <c r="B181" s="5" t="str">
        <f aca="false">IF(A181="","",IFERROR(INDEX(Clients!$B:$B,MATCH(A181,Clients!$A:$A,0)),"Check client ID"))</f>
        <v/>
      </c>
      <c r="C181" s="5"/>
      <c r="D181" s="13"/>
      <c r="E181" s="13" t="str">
        <f aca="false">IF(D181="","",D181-14)</f>
        <v/>
      </c>
      <c r="F181" s="5" t="str">
        <f aca="true">IF(D181="","",D181-TODAY())</f>
        <v/>
      </c>
      <c r="G181" s="5"/>
    </row>
    <row r="182" customFormat="false" ht="15" hidden="false" customHeight="false" outlineLevel="0" collapsed="false">
      <c r="A182" s="5"/>
      <c r="B182" s="5" t="str">
        <f aca="false">IF(A182="","",IFERROR(INDEX(Clients!$B:$B,MATCH(A182,Clients!$A:$A,0)),"Check client ID"))</f>
        <v/>
      </c>
      <c r="C182" s="5"/>
      <c r="D182" s="13"/>
      <c r="E182" s="13" t="str">
        <f aca="false">IF(D182="","",D182-14)</f>
        <v/>
      </c>
      <c r="F182" s="5" t="str">
        <f aca="true">IF(D182="","",D182-TODAY())</f>
        <v/>
      </c>
      <c r="G182" s="5"/>
    </row>
    <row r="183" customFormat="false" ht="15" hidden="false" customHeight="false" outlineLevel="0" collapsed="false">
      <c r="A183" s="5"/>
      <c r="B183" s="5" t="str">
        <f aca="false">IF(A183="","",IFERROR(INDEX(Clients!$B:$B,MATCH(A183,Clients!$A:$A,0)),"Check client ID"))</f>
        <v/>
      </c>
      <c r="C183" s="5"/>
      <c r="D183" s="13"/>
      <c r="E183" s="13" t="str">
        <f aca="false">IF(D183="","",D183-14)</f>
        <v/>
      </c>
      <c r="F183" s="5" t="str">
        <f aca="true">IF(D183="","",D183-TODAY())</f>
        <v/>
      </c>
      <c r="G183" s="5"/>
    </row>
    <row r="184" customFormat="false" ht="15" hidden="false" customHeight="false" outlineLevel="0" collapsed="false">
      <c r="A184" s="5"/>
      <c r="B184" s="5" t="str">
        <f aca="false">IF(A184="","",IFERROR(INDEX(Clients!$B:$B,MATCH(A184,Clients!$A:$A,0)),"Check client ID"))</f>
        <v/>
      </c>
      <c r="C184" s="5"/>
      <c r="D184" s="13"/>
      <c r="E184" s="13" t="str">
        <f aca="false">IF(D184="","",D184-14)</f>
        <v/>
      </c>
      <c r="F184" s="5" t="str">
        <f aca="true">IF(D184="","",D184-TODAY())</f>
        <v/>
      </c>
      <c r="G184" s="5"/>
    </row>
    <row r="185" customFormat="false" ht="15" hidden="false" customHeight="false" outlineLevel="0" collapsed="false">
      <c r="A185" s="5"/>
      <c r="B185" s="5" t="str">
        <f aca="false">IF(A185="","",IFERROR(INDEX(Clients!$B:$B,MATCH(A185,Clients!$A:$A,0)),"Check client ID"))</f>
        <v/>
      </c>
      <c r="C185" s="5"/>
      <c r="D185" s="13"/>
      <c r="E185" s="13" t="str">
        <f aca="false">IF(D185="","",D185-14)</f>
        <v/>
      </c>
      <c r="F185" s="5" t="str">
        <f aca="true">IF(D185="","",D185-TODAY())</f>
        <v/>
      </c>
      <c r="G185" s="5"/>
    </row>
    <row r="186" customFormat="false" ht="15" hidden="false" customHeight="false" outlineLevel="0" collapsed="false">
      <c r="A186" s="5"/>
      <c r="B186" s="5" t="str">
        <f aca="false">IF(A186="","",IFERROR(INDEX(Clients!$B:$B,MATCH(A186,Clients!$A:$A,0)),"Check client ID"))</f>
        <v/>
      </c>
      <c r="C186" s="5"/>
      <c r="D186" s="13"/>
      <c r="E186" s="13" t="str">
        <f aca="false">IF(D186="","",D186-14)</f>
        <v/>
      </c>
      <c r="F186" s="5" t="str">
        <f aca="true">IF(D186="","",D186-TODAY())</f>
        <v/>
      </c>
      <c r="G186" s="5"/>
    </row>
    <row r="187" customFormat="false" ht="15" hidden="false" customHeight="false" outlineLevel="0" collapsed="false">
      <c r="A187" s="5"/>
      <c r="B187" s="5" t="str">
        <f aca="false">IF(A187="","",IFERROR(INDEX(Clients!$B:$B,MATCH(A187,Clients!$A:$A,0)),"Check client ID"))</f>
        <v/>
      </c>
      <c r="C187" s="5"/>
      <c r="D187" s="13"/>
      <c r="E187" s="13" t="str">
        <f aca="false">IF(D187="","",D187-14)</f>
        <v/>
      </c>
      <c r="F187" s="5" t="str">
        <f aca="true">IF(D187="","",D187-TODAY())</f>
        <v/>
      </c>
      <c r="G187" s="5"/>
    </row>
    <row r="188" customFormat="false" ht="15" hidden="false" customHeight="false" outlineLevel="0" collapsed="false">
      <c r="A188" s="5"/>
      <c r="B188" s="5" t="str">
        <f aca="false">IF(A188="","",IFERROR(INDEX(Clients!$B:$B,MATCH(A188,Clients!$A:$A,0)),"Check client ID"))</f>
        <v/>
      </c>
      <c r="C188" s="5"/>
      <c r="D188" s="13"/>
      <c r="E188" s="13" t="str">
        <f aca="false">IF(D188="","",D188-14)</f>
        <v/>
      </c>
      <c r="F188" s="5" t="str">
        <f aca="true">IF(D188="","",D188-TODAY())</f>
        <v/>
      </c>
      <c r="G188" s="5"/>
    </row>
    <row r="189" customFormat="false" ht="15" hidden="false" customHeight="false" outlineLevel="0" collapsed="false">
      <c r="A189" s="5"/>
      <c r="B189" s="5" t="str">
        <f aca="false">IF(A189="","",IFERROR(INDEX(Clients!$B:$B,MATCH(A189,Clients!$A:$A,0)),"Check client ID"))</f>
        <v/>
      </c>
      <c r="C189" s="5"/>
      <c r="D189" s="13"/>
      <c r="E189" s="13" t="str">
        <f aca="false">IF(D189="","",D189-14)</f>
        <v/>
      </c>
      <c r="F189" s="5" t="str">
        <f aca="true">IF(D189="","",D189-TODAY())</f>
        <v/>
      </c>
      <c r="G189" s="5"/>
    </row>
    <row r="190" customFormat="false" ht="15" hidden="false" customHeight="false" outlineLevel="0" collapsed="false">
      <c r="A190" s="5"/>
      <c r="B190" s="5" t="str">
        <f aca="false">IF(A190="","",IFERROR(INDEX(Clients!$B:$B,MATCH(A190,Clients!$A:$A,0)),"Check client ID"))</f>
        <v/>
      </c>
      <c r="C190" s="5"/>
      <c r="D190" s="13"/>
      <c r="E190" s="13" t="str">
        <f aca="false">IF(D190="","",D190-14)</f>
        <v/>
      </c>
      <c r="F190" s="5" t="str">
        <f aca="true">IF(D190="","",D190-TODAY())</f>
        <v/>
      </c>
      <c r="G190" s="5"/>
    </row>
    <row r="191" customFormat="false" ht="15" hidden="false" customHeight="false" outlineLevel="0" collapsed="false">
      <c r="A191" s="5"/>
      <c r="B191" s="5" t="str">
        <f aca="false">IF(A191="","",IFERROR(INDEX(Clients!$B:$B,MATCH(A191,Clients!$A:$A,0)),"Check client ID"))</f>
        <v/>
      </c>
      <c r="C191" s="5"/>
      <c r="D191" s="13"/>
      <c r="E191" s="13" t="str">
        <f aca="false">IF(D191="","",D191-14)</f>
        <v/>
      </c>
      <c r="F191" s="5" t="str">
        <f aca="true">IF(D191="","",D191-TODAY())</f>
        <v/>
      </c>
      <c r="G191" s="5"/>
    </row>
    <row r="192" customFormat="false" ht="15" hidden="false" customHeight="false" outlineLevel="0" collapsed="false">
      <c r="A192" s="5"/>
      <c r="B192" s="5" t="str">
        <f aca="false">IF(A192="","",IFERROR(INDEX(Clients!$B:$B,MATCH(A192,Clients!$A:$A,0)),"Check client ID"))</f>
        <v/>
      </c>
      <c r="C192" s="5"/>
      <c r="D192" s="13"/>
      <c r="E192" s="13" t="str">
        <f aca="false">IF(D192="","",D192-14)</f>
        <v/>
      </c>
      <c r="F192" s="5" t="str">
        <f aca="true">IF(D192="","",D192-TODAY())</f>
        <v/>
      </c>
      <c r="G192" s="5"/>
    </row>
    <row r="193" customFormat="false" ht="15" hidden="false" customHeight="false" outlineLevel="0" collapsed="false">
      <c r="A193" s="5"/>
      <c r="B193" s="5" t="str">
        <f aca="false">IF(A193="","",IFERROR(INDEX(Clients!$B:$B,MATCH(A193,Clients!$A:$A,0)),"Check client ID"))</f>
        <v/>
      </c>
      <c r="C193" s="5"/>
      <c r="D193" s="13"/>
      <c r="E193" s="13" t="str">
        <f aca="false">IF(D193="","",D193-14)</f>
        <v/>
      </c>
      <c r="F193" s="5" t="str">
        <f aca="true">IF(D193="","",D193-TODAY())</f>
        <v/>
      </c>
      <c r="G193" s="5"/>
    </row>
    <row r="194" customFormat="false" ht="15" hidden="false" customHeight="false" outlineLevel="0" collapsed="false">
      <c r="A194" s="5"/>
      <c r="B194" s="5" t="str">
        <f aca="false">IF(A194="","",IFERROR(INDEX(Clients!$B:$B,MATCH(A194,Clients!$A:$A,0)),"Check client ID"))</f>
        <v/>
      </c>
      <c r="C194" s="5"/>
      <c r="D194" s="13"/>
      <c r="E194" s="13" t="str">
        <f aca="false">IF(D194="","",D194-14)</f>
        <v/>
      </c>
      <c r="F194" s="5" t="str">
        <f aca="true">IF(D194="","",D194-TODAY())</f>
        <v/>
      </c>
      <c r="G194" s="5"/>
    </row>
    <row r="195" customFormat="false" ht="15" hidden="false" customHeight="false" outlineLevel="0" collapsed="false">
      <c r="A195" s="5"/>
      <c r="B195" s="5" t="str">
        <f aca="false">IF(A195="","",IFERROR(INDEX(Clients!$B:$B,MATCH(A195,Clients!$A:$A,0)),"Check client ID"))</f>
        <v/>
      </c>
      <c r="C195" s="5"/>
      <c r="D195" s="13"/>
      <c r="E195" s="13" t="str">
        <f aca="false">IF(D195="","",D195-14)</f>
        <v/>
      </c>
      <c r="F195" s="5" t="str">
        <f aca="true">IF(D195="","",D195-TODAY())</f>
        <v/>
      </c>
      <c r="G195" s="5"/>
    </row>
    <row r="196" customFormat="false" ht="15" hidden="false" customHeight="false" outlineLevel="0" collapsed="false">
      <c r="A196" s="5"/>
      <c r="B196" s="5" t="str">
        <f aca="false">IF(A196="","",IFERROR(INDEX(Clients!$B:$B,MATCH(A196,Clients!$A:$A,0)),"Check client ID"))</f>
        <v/>
      </c>
      <c r="C196" s="5"/>
      <c r="D196" s="13"/>
      <c r="E196" s="13" t="str">
        <f aca="false">IF(D196="","",D196-14)</f>
        <v/>
      </c>
      <c r="F196" s="5" t="str">
        <f aca="true">IF(D196="","",D196-TODAY())</f>
        <v/>
      </c>
      <c r="G196" s="5"/>
    </row>
    <row r="197" customFormat="false" ht="15" hidden="false" customHeight="false" outlineLevel="0" collapsed="false">
      <c r="A197" s="5"/>
      <c r="B197" s="5" t="str">
        <f aca="false">IF(A197="","",IFERROR(INDEX(Clients!$B:$B,MATCH(A197,Clients!$A:$A,0)),"Check client ID"))</f>
        <v/>
      </c>
      <c r="C197" s="5"/>
      <c r="D197" s="13"/>
      <c r="E197" s="13" t="str">
        <f aca="false">IF(D197="","",D197-14)</f>
        <v/>
      </c>
      <c r="F197" s="5" t="str">
        <f aca="true">IF(D197="","",D197-TODAY())</f>
        <v/>
      </c>
      <c r="G197" s="5"/>
    </row>
    <row r="198" customFormat="false" ht="15" hidden="false" customHeight="false" outlineLevel="0" collapsed="false">
      <c r="A198" s="5"/>
      <c r="B198" s="5" t="str">
        <f aca="false">IF(A198="","",IFERROR(INDEX(Clients!$B:$B,MATCH(A198,Clients!$A:$A,0)),"Check client ID"))</f>
        <v/>
      </c>
      <c r="C198" s="5"/>
      <c r="D198" s="13"/>
      <c r="E198" s="13" t="str">
        <f aca="false">IF(D198="","",D198-14)</f>
        <v/>
      </c>
      <c r="F198" s="5" t="str">
        <f aca="true">IF(D198="","",D198-TODAY())</f>
        <v/>
      </c>
      <c r="G198" s="5"/>
    </row>
    <row r="199" customFormat="false" ht="15" hidden="false" customHeight="false" outlineLevel="0" collapsed="false">
      <c r="A199" s="5"/>
      <c r="B199" s="5" t="str">
        <f aca="false">IF(A199="","",IFERROR(INDEX(Clients!$B:$B,MATCH(A199,Clients!$A:$A,0)),"Check client ID"))</f>
        <v/>
      </c>
      <c r="C199" s="5"/>
      <c r="D199" s="13"/>
      <c r="E199" s="13" t="str">
        <f aca="false">IF(D199="","",D199-14)</f>
        <v/>
      </c>
      <c r="F199" s="5" t="str">
        <f aca="true">IF(D199="","",D199-TODAY())</f>
        <v/>
      </c>
      <c r="G199" s="5"/>
    </row>
    <row r="200" customFormat="false" ht="15" hidden="false" customHeight="false" outlineLevel="0" collapsed="false">
      <c r="A200" s="5"/>
      <c r="B200" s="5" t="str">
        <f aca="false">IF(A200="","",IFERROR(INDEX(Clients!$B:$B,MATCH(A200,Clients!$A:$A,0)),"Check client ID"))</f>
        <v/>
      </c>
      <c r="C200" s="5"/>
      <c r="D200" s="13"/>
      <c r="E200" s="13" t="str">
        <f aca="false">IF(D200="","",D200-14)</f>
        <v/>
      </c>
      <c r="F200" s="5" t="str">
        <f aca="true">IF(D200="","",D200-TODAY())</f>
        <v/>
      </c>
      <c r="G200" s="5"/>
    </row>
    <row r="201" customFormat="false" ht="15" hidden="false" customHeight="false" outlineLevel="0" collapsed="false">
      <c r="A201" s="5"/>
      <c r="B201" s="5" t="str">
        <f aca="false">IF(A201="","",IFERROR(INDEX(Clients!$B:$B,MATCH(A201,Clients!$A:$A,0)),"Check client ID"))</f>
        <v/>
      </c>
      <c r="C201" s="5"/>
      <c r="D201" s="13"/>
      <c r="E201" s="13" t="str">
        <f aca="false">IF(D201="","",D201-14)</f>
        <v/>
      </c>
      <c r="F201" s="5" t="str">
        <f aca="true">IF(D201="","",D201-TODAY())</f>
        <v/>
      </c>
      <c r="G201" s="5"/>
    </row>
    <row r="202" customFormat="false" ht="15" hidden="false" customHeight="false" outlineLevel="0" collapsed="false">
      <c r="A202" s="5"/>
      <c r="B202" s="5" t="str">
        <f aca="false">IF(A202="","",IFERROR(INDEX(Clients!$B:$B,MATCH(A202,Clients!$A:$A,0)),"Check client ID"))</f>
        <v/>
      </c>
      <c r="C202" s="5"/>
      <c r="D202" s="13"/>
      <c r="E202" s="13" t="str">
        <f aca="false">IF(D202="","",D202-14)</f>
        <v/>
      </c>
      <c r="F202" s="5" t="str">
        <f aca="true">IF(D202="","",D202-TODAY())</f>
        <v/>
      </c>
      <c r="G202" s="5"/>
    </row>
    <row r="203" customFormat="false" ht="15" hidden="false" customHeight="false" outlineLevel="0" collapsed="false">
      <c r="A203" s="5"/>
      <c r="B203" s="5" t="str">
        <f aca="false">IF(A203="","",IFERROR(INDEX(Clients!$B:$B,MATCH(A203,Clients!$A:$A,0)),"Check client ID"))</f>
        <v/>
      </c>
      <c r="C203" s="5"/>
      <c r="D203" s="13"/>
      <c r="E203" s="13" t="str">
        <f aca="false">IF(D203="","",D203-14)</f>
        <v/>
      </c>
      <c r="F203" s="5" t="str">
        <f aca="true">IF(D203="","",D203-TODAY())</f>
        <v/>
      </c>
      <c r="G203" s="5"/>
    </row>
    <row r="204" customFormat="false" ht="15" hidden="false" customHeight="false" outlineLevel="0" collapsed="false">
      <c r="A204" s="5"/>
      <c r="B204" s="5" t="str">
        <f aca="false">IF(A204="","",IFERROR(INDEX(Clients!$B:$B,MATCH(A204,Clients!$A:$A,0)),"Check client ID"))</f>
        <v/>
      </c>
      <c r="C204" s="5"/>
      <c r="D204" s="13"/>
      <c r="E204" s="13" t="str">
        <f aca="false">IF(D204="","",D204-14)</f>
        <v/>
      </c>
      <c r="F204" s="5" t="str">
        <f aca="true">IF(D204="","",D204-TODAY())</f>
        <v/>
      </c>
      <c r="G204" s="5"/>
    </row>
    <row r="205" customFormat="false" ht="15" hidden="false" customHeight="false" outlineLevel="0" collapsed="false">
      <c r="A205" s="5"/>
      <c r="B205" s="5" t="str">
        <f aca="false">IF(A205="","",IFERROR(INDEX(Clients!$B:$B,MATCH(A205,Clients!$A:$A,0)),"Check client ID"))</f>
        <v/>
      </c>
      <c r="C205" s="5"/>
      <c r="D205" s="13"/>
      <c r="E205" s="13" t="str">
        <f aca="false">IF(D205="","",D205-14)</f>
        <v/>
      </c>
      <c r="F205" s="5" t="str">
        <f aca="true">IF(D205="","",D205-TODAY())</f>
        <v/>
      </c>
      <c r="G205" s="5"/>
    </row>
    <row r="206" customFormat="false" ht="15" hidden="false" customHeight="false" outlineLevel="0" collapsed="false">
      <c r="A206" s="5"/>
      <c r="B206" s="5" t="str">
        <f aca="false">IF(A206="","",IFERROR(INDEX(Clients!$B:$B,MATCH(A206,Clients!$A:$A,0)),"Check client ID"))</f>
        <v/>
      </c>
      <c r="C206" s="5"/>
      <c r="D206" s="13"/>
      <c r="E206" s="13" t="str">
        <f aca="false">IF(D206="","",D206-14)</f>
        <v/>
      </c>
      <c r="F206" s="5" t="str">
        <f aca="true">IF(D206="","",D206-TODAY())</f>
        <v/>
      </c>
      <c r="G206" s="5"/>
    </row>
    <row r="207" customFormat="false" ht="15" hidden="false" customHeight="false" outlineLevel="0" collapsed="false">
      <c r="A207" s="5"/>
      <c r="B207" s="5" t="str">
        <f aca="false">IF(A207="","",IFERROR(INDEX(Clients!$B:$B,MATCH(A207,Clients!$A:$A,0)),"Check client ID"))</f>
        <v/>
      </c>
      <c r="C207" s="5"/>
      <c r="D207" s="13"/>
      <c r="E207" s="13" t="str">
        <f aca="false">IF(D207="","",D207-14)</f>
        <v/>
      </c>
      <c r="F207" s="5" t="str">
        <f aca="true">IF(D207="","",D207-TODAY())</f>
        <v/>
      </c>
      <c r="G207" s="5"/>
    </row>
    <row r="208" customFormat="false" ht="15" hidden="false" customHeight="false" outlineLevel="0" collapsed="false">
      <c r="A208" s="5"/>
      <c r="B208" s="5" t="str">
        <f aca="false">IF(A208="","",IFERROR(INDEX(Clients!$B:$B,MATCH(A208,Clients!$A:$A,0)),"Check client ID"))</f>
        <v/>
      </c>
      <c r="C208" s="5"/>
      <c r="D208" s="13"/>
      <c r="E208" s="13" t="str">
        <f aca="false">IF(D208="","",D208-14)</f>
        <v/>
      </c>
      <c r="F208" s="5" t="str">
        <f aca="true">IF(D208="","",D208-TODAY())</f>
        <v/>
      </c>
      <c r="G208" s="5"/>
    </row>
    <row r="209" customFormat="false" ht="15" hidden="false" customHeight="false" outlineLevel="0" collapsed="false">
      <c r="A209" s="5"/>
      <c r="B209" s="5" t="str">
        <f aca="false">IF(A209="","",IFERROR(INDEX(Clients!$B:$B,MATCH(A209,Clients!$A:$A,0)),"Check client ID"))</f>
        <v/>
      </c>
      <c r="C209" s="5"/>
      <c r="D209" s="13"/>
      <c r="E209" s="13" t="str">
        <f aca="false">IF(D209="","",D209-14)</f>
        <v/>
      </c>
      <c r="F209" s="5" t="str">
        <f aca="true">IF(D209="","",D209-TODAY())</f>
        <v/>
      </c>
      <c r="G209" s="5"/>
    </row>
    <row r="210" customFormat="false" ht="15" hidden="false" customHeight="false" outlineLevel="0" collapsed="false">
      <c r="A210" s="5"/>
      <c r="B210" s="5" t="str">
        <f aca="false">IF(A210="","",IFERROR(INDEX(Clients!$B:$B,MATCH(A210,Clients!$A:$A,0)),"Check client ID"))</f>
        <v/>
      </c>
      <c r="C210" s="5"/>
      <c r="D210" s="13"/>
      <c r="E210" s="13" t="str">
        <f aca="false">IF(D210="","",D210-14)</f>
        <v/>
      </c>
      <c r="F210" s="5" t="str">
        <f aca="true">IF(D210="","",D210-TODAY())</f>
        <v/>
      </c>
      <c r="G210" s="5"/>
    </row>
    <row r="211" customFormat="false" ht="15" hidden="false" customHeight="false" outlineLevel="0" collapsed="false">
      <c r="A211" s="5"/>
      <c r="B211" s="5" t="str">
        <f aca="false">IF(A211="","",IFERROR(INDEX(Clients!$B:$B,MATCH(A211,Clients!$A:$A,0)),"Check client ID"))</f>
        <v/>
      </c>
      <c r="C211" s="5"/>
      <c r="D211" s="13"/>
      <c r="E211" s="13" t="str">
        <f aca="false">IF(D211="","",D211-14)</f>
        <v/>
      </c>
      <c r="F211" s="5" t="str">
        <f aca="true">IF(D211="","",D211-TODAY())</f>
        <v/>
      </c>
      <c r="G211" s="5"/>
    </row>
    <row r="212" customFormat="false" ht="15" hidden="false" customHeight="false" outlineLevel="0" collapsed="false">
      <c r="A212" s="5"/>
      <c r="B212" s="5" t="str">
        <f aca="false">IF(A212="","",IFERROR(INDEX(Clients!$B:$B,MATCH(A212,Clients!$A:$A,0)),"Check client ID"))</f>
        <v/>
      </c>
      <c r="C212" s="5"/>
      <c r="D212" s="13"/>
      <c r="E212" s="13" t="str">
        <f aca="false">IF(D212="","",D212-14)</f>
        <v/>
      </c>
      <c r="F212" s="5" t="str">
        <f aca="true">IF(D212="","",D212-TODAY())</f>
        <v/>
      </c>
      <c r="G212" s="5"/>
    </row>
    <row r="213" customFormat="false" ht="15" hidden="false" customHeight="false" outlineLevel="0" collapsed="false">
      <c r="A213" s="5"/>
      <c r="B213" s="5" t="str">
        <f aca="false">IF(A213="","",IFERROR(INDEX(Clients!$B:$B,MATCH(A213,Clients!$A:$A,0)),"Check client ID"))</f>
        <v/>
      </c>
      <c r="C213" s="5"/>
      <c r="D213" s="13"/>
      <c r="E213" s="13" t="str">
        <f aca="false">IF(D213="","",D213-14)</f>
        <v/>
      </c>
      <c r="F213" s="5" t="str">
        <f aca="true">IF(D213="","",D213-TODAY())</f>
        <v/>
      </c>
      <c r="G213" s="5"/>
    </row>
    <row r="214" customFormat="false" ht="15" hidden="false" customHeight="false" outlineLevel="0" collapsed="false">
      <c r="A214" s="5"/>
      <c r="B214" s="5" t="str">
        <f aca="false">IF(A214="","",IFERROR(INDEX(Clients!$B:$B,MATCH(A214,Clients!$A:$A,0)),"Check client ID"))</f>
        <v/>
      </c>
      <c r="C214" s="5"/>
      <c r="D214" s="13"/>
      <c r="E214" s="13" t="str">
        <f aca="false">IF(D214="","",D214-14)</f>
        <v/>
      </c>
      <c r="F214" s="5" t="str">
        <f aca="true">IF(D214="","",D214-TODAY())</f>
        <v/>
      </c>
      <c r="G214" s="5"/>
    </row>
    <row r="215" customFormat="false" ht="15" hidden="false" customHeight="false" outlineLevel="0" collapsed="false">
      <c r="A215" s="5"/>
      <c r="B215" s="5" t="str">
        <f aca="false">IF(A215="","",IFERROR(INDEX(Clients!$B:$B,MATCH(A215,Clients!$A:$A,0)),"Check client ID"))</f>
        <v/>
      </c>
      <c r="C215" s="5"/>
      <c r="D215" s="13"/>
      <c r="E215" s="13" t="str">
        <f aca="false">IF(D215="","",D215-14)</f>
        <v/>
      </c>
      <c r="F215" s="5" t="str">
        <f aca="true">IF(D215="","",D215-TODAY())</f>
        <v/>
      </c>
      <c r="G215" s="5"/>
    </row>
    <row r="216" customFormat="false" ht="15" hidden="false" customHeight="false" outlineLevel="0" collapsed="false">
      <c r="A216" s="5"/>
      <c r="B216" s="5" t="str">
        <f aca="false">IF(A216="","",IFERROR(INDEX(Clients!$B:$B,MATCH(A216,Clients!$A:$A,0)),"Check client ID"))</f>
        <v/>
      </c>
      <c r="C216" s="5"/>
      <c r="D216" s="13"/>
      <c r="E216" s="13" t="str">
        <f aca="false">IF(D216="","",D216-14)</f>
        <v/>
      </c>
      <c r="F216" s="5" t="str">
        <f aca="true">IF(D216="","",D216-TODAY())</f>
        <v/>
      </c>
      <c r="G216" s="5"/>
    </row>
    <row r="217" customFormat="false" ht="15" hidden="false" customHeight="false" outlineLevel="0" collapsed="false">
      <c r="A217" s="5"/>
      <c r="B217" s="5" t="str">
        <f aca="false">IF(A217="","",IFERROR(INDEX(Clients!$B:$B,MATCH(A217,Clients!$A:$A,0)),"Check client ID"))</f>
        <v/>
      </c>
      <c r="C217" s="5"/>
      <c r="D217" s="13"/>
      <c r="E217" s="13" t="str">
        <f aca="false">IF(D217="","",D217-14)</f>
        <v/>
      </c>
      <c r="F217" s="5" t="str">
        <f aca="true">IF(D217="","",D217-TODAY())</f>
        <v/>
      </c>
      <c r="G217" s="5"/>
    </row>
    <row r="218" customFormat="false" ht="15" hidden="false" customHeight="false" outlineLevel="0" collapsed="false">
      <c r="A218" s="5"/>
      <c r="B218" s="5" t="str">
        <f aca="false">IF(A218="","",IFERROR(INDEX(Clients!$B:$B,MATCH(A218,Clients!$A:$A,0)),"Check client ID"))</f>
        <v/>
      </c>
      <c r="C218" s="5"/>
      <c r="D218" s="13"/>
      <c r="E218" s="13" t="str">
        <f aca="false">IF(D218="","",D218-14)</f>
        <v/>
      </c>
      <c r="F218" s="5" t="str">
        <f aca="true">IF(D218="","",D218-TODAY())</f>
        <v/>
      </c>
      <c r="G218" s="5"/>
    </row>
    <row r="219" customFormat="false" ht="15" hidden="false" customHeight="false" outlineLevel="0" collapsed="false">
      <c r="A219" s="5"/>
      <c r="B219" s="5" t="str">
        <f aca="false">IF(A219="","",IFERROR(INDEX(Clients!$B:$B,MATCH(A219,Clients!$A:$A,0)),"Check client ID"))</f>
        <v/>
      </c>
      <c r="C219" s="5"/>
      <c r="D219" s="13"/>
      <c r="E219" s="13" t="str">
        <f aca="false">IF(D219="","",D219-14)</f>
        <v/>
      </c>
      <c r="F219" s="5" t="str">
        <f aca="true">IF(D219="","",D219-TODAY())</f>
        <v/>
      </c>
      <c r="G219" s="5"/>
    </row>
    <row r="220" customFormat="false" ht="15" hidden="false" customHeight="false" outlineLevel="0" collapsed="false">
      <c r="A220" s="5"/>
      <c r="B220" s="5" t="str">
        <f aca="false">IF(A220="","",IFERROR(INDEX(Clients!$B:$B,MATCH(A220,Clients!$A:$A,0)),"Check client ID"))</f>
        <v/>
      </c>
      <c r="C220" s="5"/>
      <c r="D220" s="13"/>
      <c r="E220" s="13" t="str">
        <f aca="false">IF(D220="","",D220-14)</f>
        <v/>
      </c>
      <c r="F220" s="5" t="str">
        <f aca="true">IF(D220="","",D220-TODAY())</f>
        <v/>
      </c>
      <c r="G220" s="5"/>
    </row>
    <row r="221" customFormat="false" ht="15" hidden="false" customHeight="false" outlineLevel="0" collapsed="false">
      <c r="A221" s="5"/>
      <c r="B221" s="5" t="str">
        <f aca="false">IF(A221="","",IFERROR(INDEX(Clients!$B:$B,MATCH(A221,Clients!$A:$A,0)),"Check client ID"))</f>
        <v/>
      </c>
      <c r="C221" s="5"/>
      <c r="D221" s="13"/>
      <c r="E221" s="13" t="str">
        <f aca="false">IF(D221="","",D221-14)</f>
        <v/>
      </c>
      <c r="F221" s="5" t="str">
        <f aca="true">IF(D221="","",D221-TODAY())</f>
        <v/>
      </c>
      <c r="G221" s="5"/>
    </row>
    <row r="222" customFormat="false" ht="15" hidden="false" customHeight="false" outlineLevel="0" collapsed="false">
      <c r="A222" s="5"/>
      <c r="B222" s="5" t="str">
        <f aca="false">IF(A222="","",IFERROR(INDEX(Clients!$B:$B,MATCH(A222,Clients!$A:$A,0)),"Check client ID"))</f>
        <v/>
      </c>
      <c r="C222" s="5"/>
      <c r="D222" s="13"/>
      <c r="E222" s="13" t="str">
        <f aca="false">IF(D222="","",D222-14)</f>
        <v/>
      </c>
      <c r="F222" s="5" t="str">
        <f aca="true">IF(D222="","",D222-TODAY())</f>
        <v/>
      </c>
      <c r="G222" s="5"/>
    </row>
    <row r="223" customFormat="false" ht="15" hidden="false" customHeight="false" outlineLevel="0" collapsed="false">
      <c r="A223" s="5"/>
      <c r="B223" s="5" t="str">
        <f aca="false">IF(A223="","",IFERROR(INDEX(Clients!$B:$B,MATCH(A223,Clients!$A:$A,0)),"Check client ID"))</f>
        <v/>
      </c>
      <c r="C223" s="5"/>
      <c r="D223" s="13"/>
      <c r="E223" s="13" t="str">
        <f aca="false">IF(D223="","",D223-14)</f>
        <v/>
      </c>
      <c r="F223" s="5" t="str">
        <f aca="true">IF(D223="","",D223-TODAY())</f>
        <v/>
      </c>
      <c r="G223" s="5"/>
    </row>
    <row r="224" customFormat="false" ht="15" hidden="false" customHeight="false" outlineLevel="0" collapsed="false">
      <c r="A224" s="5"/>
      <c r="B224" s="5" t="str">
        <f aca="false">IF(A224="","",IFERROR(INDEX(Clients!$B:$B,MATCH(A224,Clients!$A:$A,0)),"Check client ID"))</f>
        <v/>
      </c>
      <c r="C224" s="5"/>
      <c r="D224" s="13"/>
      <c r="E224" s="13" t="str">
        <f aca="false">IF(D224="","",D224-14)</f>
        <v/>
      </c>
      <c r="F224" s="5" t="str">
        <f aca="true">IF(D224="","",D224-TODAY())</f>
        <v/>
      </c>
      <c r="G224" s="5"/>
    </row>
    <row r="225" customFormat="false" ht="15" hidden="false" customHeight="false" outlineLevel="0" collapsed="false">
      <c r="A225" s="5"/>
      <c r="B225" s="5" t="str">
        <f aca="false">IF(A225="","",IFERROR(INDEX(Clients!$B:$B,MATCH(A225,Clients!$A:$A,0)),"Check client ID"))</f>
        <v/>
      </c>
      <c r="C225" s="5"/>
      <c r="D225" s="13"/>
      <c r="E225" s="13" t="str">
        <f aca="false">IF(D225="","",D225-14)</f>
        <v/>
      </c>
      <c r="F225" s="5" t="str">
        <f aca="true">IF(D225="","",D225-TODAY())</f>
        <v/>
      </c>
      <c r="G225" s="5"/>
    </row>
    <row r="226" customFormat="false" ht="15" hidden="false" customHeight="false" outlineLevel="0" collapsed="false">
      <c r="A226" s="5"/>
      <c r="B226" s="5" t="str">
        <f aca="false">IF(A226="","",IFERROR(INDEX(Clients!$B:$B,MATCH(A226,Clients!$A:$A,0)),"Check client ID"))</f>
        <v/>
      </c>
      <c r="C226" s="5"/>
      <c r="D226" s="13"/>
      <c r="E226" s="13" t="str">
        <f aca="false">IF(D226="","",D226-14)</f>
        <v/>
      </c>
      <c r="F226" s="5" t="str">
        <f aca="true">IF(D226="","",D226-TODAY())</f>
        <v/>
      </c>
      <c r="G226" s="5"/>
    </row>
    <row r="227" customFormat="false" ht="15" hidden="false" customHeight="false" outlineLevel="0" collapsed="false">
      <c r="A227" s="5"/>
      <c r="B227" s="5" t="str">
        <f aca="false">IF(A227="","",IFERROR(INDEX(Clients!$B:$B,MATCH(A227,Clients!$A:$A,0)),"Check client ID"))</f>
        <v/>
      </c>
      <c r="C227" s="5"/>
      <c r="D227" s="13"/>
      <c r="E227" s="13" t="str">
        <f aca="false">IF(D227="","",D227-14)</f>
        <v/>
      </c>
      <c r="F227" s="5" t="str">
        <f aca="true">IF(D227="","",D227-TODAY())</f>
        <v/>
      </c>
      <c r="G227" s="5"/>
    </row>
    <row r="228" customFormat="false" ht="15" hidden="false" customHeight="false" outlineLevel="0" collapsed="false">
      <c r="A228" s="5"/>
      <c r="B228" s="5" t="str">
        <f aca="false">IF(A228="","",IFERROR(INDEX(Clients!$B:$B,MATCH(A228,Clients!$A:$A,0)),"Check client ID"))</f>
        <v/>
      </c>
      <c r="C228" s="5"/>
      <c r="D228" s="13"/>
      <c r="E228" s="13" t="str">
        <f aca="false">IF(D228="","",D228-14)</f>
        <v/>
      </c>
      <c r="F228" s="5" t="str">
        <f aca="true">IF(D228="","",D228-TODAY())</f>
        <v/>
      </c>
      <c r="G228" s="5"/>
    </row>
    <row r="229" customFormat="false" ht="15" hidden="false" customHeight="false" outlineLevel="0" collapsed="false">
      <c r="A229" s="5"/>
      <c r="B229" s="5" t="str">
        <f aca="false">IF(A229="","",IFERROR(INDEX(Clients!$B:$B,MATCH(A229,Clients!$A:$A,0)),"Check client ID"))</f>
        <v/>
      </c>
      <c r="C229" s="5"/>
      <c r="D229" s="13"/>
      <c r="E229" s="13" t="str">
        <f aca="false">IF(D229="","",D229-14)</f>
        <v/>
      </c>
      <c r="F229" s="5" t="str">
        <f aca="true">IF(D229="","",D229-TODAY())</f>
        <v/>
      </c>
      <c r="G229" s="5"/>
    </row>
    <row r="230" customFormat="false" ht="15" hidden="false" customHeight="false" outlineLevel="0" collapsed="false">
      <c r="A230" s="5"/>
      <c r="B230" s="5" t="str">
        <f aca="false">IF(A230="","",IFERROR(INDEX(Clients!$B:$B,MATCH(A230,Clients!$A:$A,0)),"Check client ID"))</f>
        <v/>
      </c>
      <c r="C230" s="5"/>
      <c r="D230" s="13"/>
      <c r="E230" s="13" t="str">
        <f aca="false">IF(D230="","",D230-14)</f>
        <v/>
      </c>
      <c r="F230" s="5" t="str">
        <f aca="true">IF(D230="","",D230-TODAY())</f>
        <v/>
      </c>
      <c r="G230" s="5"/>
    </row>
    <row r="231" customFormat="false" ht="15" hidden="false" customHeight="false" outlineLevel="0" collapsed="false">
      <c r="A231" s="5"/>
      <c r="B231" s="5" t="str">
        <f aca="false">IF(A231="","",IFERROR(INDEX(Clients!$B:$B,MATCH(A231,Clients!$A:$A,0)),"Check client ID"))</f>
        <v/>
      </c>
      <c r="C231" s="5"/>
      <c r="D231" s="13"/>
      <c r="E231" s="13" t="str">
        <f aca="false">IF(D231="","",D231-14)</f>
        <v/>
      </c>
      <c r="F231" s="5" t="str">
        <f aca="true">IF(D231="","",D231-TODAY())</f>
        <v/>
      </c>
      <c r="G231" s="5"/>
    </row>
    <row r="232" customFormat="false" ht="15" hidden="false" customHeight="false" outlineLevel="0" collapsed="false">
      <c r="A232" s="5"/>
      <c r="B232" s="5" t="str">
        <f aca="false">IF(A232="","",IFERROR(INDEX(Clients!$B:$B,MATCH(A232,Clients!$A:$A,0)),"Check client ID"))</f>
        <v/>
      </c>
      <c r="C232" s="5"/>
      <c r="D232" s="13"/>
      <c r="E232" s="13" t="str">
        <f aca="false">IF(D232="","",D232-14)</f>
        <v/>
      </c>
      <c r="F232" s="5" t="str">
        <f aca="true">IF(D232="","",D232-TODAY())</f>
        <v/>
      </c>
      <c r="G232" s="5"/>
    </row>
    <row r="233" customFormat="false" ht="15" hidden="false" customHeight="false" outlineLevel="0" collapsed="false">
      <c r="A233" s="5"/>
      <c r="B233" s="5" t="str">
        <f aca="false">IF(A233="","",IFERROR(INDEX(Clients!$B:$B,MATCH(A233,Clients!$A:$A,0)),"Check client ID"))</f>
        <v/>
      </c>
      <c r="C233" s="5"/>
      <c r="D233" s="13"/>
      <c r="E233" s="13" t="str">
        <f aca="false">IF(D233="","",D233-14)</f>
        <v/>
      </c>
      <c r="F233" s="5" t="str">
        <f aca="true">IF(D233="","",D233-TODAY())</f>
        <v/>
      </c>
      <c r="G233" s="5"/>
    </row>
    <row r="234" customFormat="false" ht="15" hidden="false" customHeight="false" outlineLevel="0" collapsed="false">
      <c r="A234" s="5"/>
      <c r="B234" s="5" t="str">
        <f aca="false">IF(A234="","",IFERROR(INDEX(Clients!$B:$B,MATCH(A234,Clients!$A:$A,0)),"Check client ID"))</f>
        <v/>
      </c>
      <c r="C234" s="5"/>
      <c r="D234" s="13"/>
      <c r="E234" s="13" t="str">
        <f aca="false">IF(D234="","",D234-14)</f>
        <v/>
      </c>
      <c r="F234" s="5" t="str">
        <f aca="true">IF(D234="","",D234-TODAY())</f>
        <v/>
      </c>
      <c r="G234" s="5"/>
    </row>
    <row r="235" customFormat="false" ht="15" hidden="false" customHeight="false" outlineLevel="0" collapsed="false">
      <c r="A235" s="5"/>
      <c r="B235" s="5" t="str">
        <f aca="false">IF(A235="","",IFERROR(INDEX(Clients!$B:$B,MATCH(A235,Clients!$A:$A,0)),"Check client ID"))</f>
        <v/>
      </c>
      <c r="C235" s="5"/>
      <c r="D235" s="13"/>
      <c r="E235" s="13" t="str">
        <f aca="false">IF(D235="","",D235-14)</f>
        <v/>
      </c>
      <c r="F235" s="5" t="str">
        <f aca="true">IF(D235="","",D235-TODAY())</f>
        <v/>
      </c>
      <c r="G235" s="5"/>
    </row>
    <row r="236" customFormat="false" ht="15" hidden="false" customHeight="false" outlineLevel="0" collapsed="false">
      <c r="A236" s="5"/>
      <c r="B236" s="5" t="str">
        <f aca="false">IF(A236="","",IFERROR(INDEX(Clients!$B:$B,MATCH(A236,Clients!$A:$A,0)),"Check client ID"))</f>
        <v/>
      </c>
      <c r="C236" s="5"/>
      <c r="D236" s="13"/>
      <c r="E236" s="13" t="str">
        <f aca="false">IF(D236="","",D236-14)</f>
        <v/>
      </c>
      <c r="F236" s="5" t="str">
        <f aca="true">IF(D236="","",D236-TODAY())</f>
        <v/>
      </c>
      <c r="G236" s="5"/>
    </row>
    <row r="237" customFormat="false" ht="15" hidden="false" customHeight="false" outlineLevel="0" collapsed="false">
      <c r="A237" s="5"/>
      <c r="B237" s="5" t="str">
        <f aca="false">IF(A237="","",IFERROR(INDEX(Clients!$B:$B,MATCH(A237,Clients!$A:$A,0)),"Check client ID"))</f>
        <v/>
      </c>
      <c r="C237" s="5"/>
      <c r="D237" s="13"/>
      <c r="E237" s="13" t="str">
        <f aca="false">IF(D237="","",D237-14)</f>
        <v/>
      </c>
      <c r="F237" s="5" t="str">
        <f aca="true">IF(D237="","",D237-TODAY())</f>
        <v/>
      </c>
      <c r="G237" s="5"/>
    </row>
    <row r="238" customFormat="false" ht="15" hidden="false" customHeight="false" outlineLevel="0" collapsed="false">
      <c r="A238" s="5"/>
      <c r="B238" s="5" t="str">
        <f aca="false">IF(A238="","",IFERROR(INDEX(Clients!$B:$B,MATCH(A238,Clients!$A:$A,0)),"Check client ID"))</f>
        <v/>
      </c>
      <c r="C238" s="5"/>
      <c r="D238" s="13"/>
      <c r="E238" s="13" t="str">
        <f aca="false">IF(D238="","",D238-14)</f>
        <v/>
      </c>
      <c r="F238" s="5" t="str">
        <f aca="true">IF(D238="","",D238-TODAY())</f>
        <v/>
      </c>
      <c r="G238" s="5"/>
    </row>
    <row r="239" customFormat="false" ht="15" hidden="false" customHeight="false" outlineLevel="0" collapsed="false">
      <c r="A239" s="5"/>
      <c r="B239" s="5" t="str">
        <f aca="false">IF(A239="","",IFERROR(INDEX(Clients!$B:$B,MATCH(A239,Clients!$A:$A,0)),"Check client ID"))</f>
        <v/>
      </c>
      <c r="C239" s="5"/>
      <c r="D239" s="13"/>
      <c r="E239" s="13" t="str">
        <f aca="false">IF(D239="","",D239-14)</f>
        <v/>
      </c>
      <c r="F239" s="5" t="str">
        <f aca="true">IF(D239="","",D239-TODAY())</f>
        <v/>
      </c>
      <c r="G239" s="5"/>
    </row>
    <row r="240" customFormat="false" ht="15" hidden="false" customHeight="false" outlineLevel="0" collapsed="false">
      <c r="A240" s="5"/>
      <c r="B240" s="5" t="str">
        <f aca="false">IF(A240="","",IFERROR(INDEX(Clients!$B:$B,MATCH(A240,Clients!$A:$A,0)),"Check client ID"))</f>
        <v/>
      </c>
      <c r="C240" s="5"/>
      <c r="D240" s="13"/>
      <c r="E240" s="13" t="str">
        <f aca="false">IF(D240="","",D240-14)</f>
        <v/>
      </c>
      <c r="F240" s="5" t="str">
        <f aca="true">IF(D240="","",D240-TODAY())</f>
        <v/>
      </c>
      <c r="G240" s="5"/>
    </row>
    <row r="241" customFormat="false" ht="15" hidden="false" customHeight="false" outlineLevel="0" collapsed="false">
      <c r="A241" s="5"/>
      <c r="B241" s="5" t="str">
        <f aca="false">IF(A241="","",IFERROR(INDEX(Clients!$B:$B,MATCH(A241,Clients!$A:$A,0)),"Check client ID"))</f>
        <v/>
      </c>
      <c r="C241" s="5"/>
      <c r="D241" s="13"/>
      <c r="E241" s="13" t="str">
        <f aca="false">IF(D241="","",D241-14)</f>
        <v/>
      </c>
      <c r="F241" s="5" t="str">
        <f aca="true">IF(D241="","",D241-TODAY())</f>
        <v/>
      </c>
      <c r="G241" s="5"/>
    </row>
    <row r="242" customFormat="false" ht="15" hidden="false" customHeight="false" outlineLevel="0" collapsed="false">
      <c r="A242" s="5"/>
      <c r="B242" s="5" t="str">
        <f aca="false">IF(A242="","",IFERROR(INDEX(Clients!$B:$B,MATCH(A242,Clients!$A:$A,0)),"Check client ID"))</f>
        <v/>
      </c>
      <c r="C242" s="5"/>
      <c r="D242" s="13"/>
      <c r="E242" s="13" t="str">
        <f aca="false">IF(D242="","",D242-14)</f>
        <v/>
      </c>
      <c r="F242" s="5" t="str">
        <f aca="true">IF(D242="","",D242-TODAY())</f>
        <v/>
      </c>
      <c r="G242" s="5"/>
    </row>
    <row r="243" customFormat="false" ht="15" hidden="false" customHeight="false" outlineLevel="0" collapsed="false">
      <c r="A243" s="5"/>
      <c r="B243" s="5" t="str">
        <f aca="false">IF(A243="","",IFERROR(INDEX(Clients!$B:$B,MATCH(A243,Clients!$A:$A,0)),"Check client ID"))</f>
        <v/>
      </c>
      <c r="C243" s="5"/>
      <c r="D243" s="13"/>
      <c r="E243" s="13" t="str">
        <f aca="false">IF(D243="","",D243-14)</f>
        <v/>
      </c>
      <c r="F243" s="5" t="str">
        <f aca="true">IF(D243="","",D243-TODAY())</f>
        <v/>
      </c>
      <c r="G243" s="5"/>
    </row>
    <row r="244" customFormat="false" ht="15" hidden="false" customHeight="false" outlineLevel="0" collapsed="false">
      <c r="A244" s="5"/>
      <c r="B244" s="5" t="str">
        <f aca="false">IF(A244="","",IFERROR(INDEX(Clients!$B:$B,MATCH(A244,Clients!$A:$A,0)),"Check client ID"))</f>
        <v/>
      </c>
      <c r="C244" s="5"/>
      <c r="D244" s="13"/>
      <c r="E244" s="13" t="str">
        <f aca="false">IF(D244="","",D244-14)</f>
        <v/>
      </c>
      <c r="F244" s="5" t="str">
        <f aca="true">IF(D244="","",D244-TODAY())</f>
        <v/>
      </c>
      <c r="G244" s="5"/>
    </row>
    <row r="245" customFormat="false" ht="15" hidden="false" customHeight="false" outlineLevel="0" collapsed="false">
      <c r="A245" s="5"/>
      <c r="B245" s="5" t="str">
        <f aca="false">IF(A245="","",IFERROR(INDEX(Clients!$B:$B,MATCH(A245,Clients!$A:$A,0)),"Check client ID"))</f>
        <v/>
      </c>
      <c r="C245" s="5"/>
      <c r="D245" s="13"/>
      <c r="E245" s="13" t="str">
        <f aca="false">IF(D245="","",D245-14)</f>
        <v/>
      </c>
      <c r="F245" s="5" t="str">
        <f aca="true">IF(D245="","",D245-TODAY())</f>
        <v/>
      </c>
      <c r="G245" s="5"/>
    </row>
    <row r="246" customFormat="false" ht="15" hidden="false" customHeight="false" outlineLevel="0" collapsed="false">
      <c r="A246" s="5"/>
      <c r="B246" s="5" t="str">
        <f aca="false">IF(A246="","",IFERROR(INDEX(Clients!$B:$B,MATCH(A246,Clients!$A:$A,0)),"Check client ID"))</f>
        <v/>
      </c>
      <c r="C246" s="5"/>
      <c r="D246" s="13"/>
      <c r="E246" s="13" t="str">
        <f aca="false">IF(D246="","",D246-14)</f>
        <v/>
      </c>
      <c r="F246" s="5" t="str">
        <f aca="true">IF(D246="","",D246-TODAY())</f>
        <v/>
      </c>
      <c r="G246" s="5"/>
    </row>
    <row r="247" customFormat="false" ht="15" hidden="false" customHeight="false" outlineLevel="0" collapsed="false">
      <c r="A247" s="5"/>
      <c r="B247" s="5" t="str">
        <f aca="false">IF(A247="","",IFERROR(INDEX(Clients!$B:$B,MATCH(A247,Clients!$A:$A,0)),"Check client ID"))</f>
        <v/>
      </c>
      <c r="C247" s="5"/>
      <c r="D247" s="13"/>
      <c r="E247" s="13" t="str">
        <f aca="false">IF(D247="","",D247-14)</f>
        <v/>
      </c>
      <c r="F247" s="5" t="str">
        <f aca="true">IF(D247="","",D247-TODAY())</f>
        <v/>
      </c>
      <c r="G247" s="5"/>
    </row>
    <row r="248" customFormat="false" ht="15" hidden="false" customHeight="false" outlineLevel="0" collapsed="false">
      <c r="A248" s="5"/>
      <c r="B248" s="5" t="str">
        <f aca="false">IF(A248="","",IFERROR(INDEX(Clients!$B:$B,MATCH(A248,Clients!$A:$A,0)),"Check client ID"))</f>
        <v/>
      </c>
      <c r="C248" s="5"/>
      <c r="D248" s="13"/>
      <c r="E248" s="13" t="str">
        <f aca="false">IF(D248="","",D248-14)</f>
        <v/>
      </c>
      <c r="F248" s="5" t="str">
        <f aca="true">IF(D248="","",D248-TODAY())</f>
        <v/>
      </c>
      <c r="G248" s="5"/>
    </row>
    <row r="249" customFormat="false" ht="15" hidden="false" customHeight="false" outlineLevel="0" collapsed="false">
      <c r="A249" s="5"/>
      <c r="B249" s="5" t="str">
        <f aca="false">IF(A249="","",IFERROR(INDEX(Clients!$B:$B,MATCH(A249,Clients!$A:$A,0)),"Check client ID"))</f>
        <v/>
      </c>
      <c r="C249" s="5"/>
      <c r="D249" s="13"/>
      <c r="E249" s="13" t="str">
        <f aca="false">IF(D249="","",D249-14)</f>
        <v/>
      </c>
      <c r="F249" s="5" t="str">
        <f aca="true">IF(D249="","",D249-TODAY())</f>
        <v/>
      </c>
      <c r="G249" s="5"/>
    </row>
    <row r="250" customFormat="false" ht="15" hidden="false" customHeight="false" outlineLevel="0" collapsed="false">
      <c r="A250" s="5"/>
      <c r="B250" s="5" t="str">
        <f aca="false">IF(A250="","",IFERROR(INDEX(Clients!$B:$B,MATCH(A250,Clients!$A:$A,0)),"Check client ID"))</f>
        <v/>
      </c>
      <c r="C250" s="5"/>
      <c r="D250" s="13"/>
      <c r="E250" s="13" t="str">
        <f aca="false">IF(D250="","",D250-14)</f>
        <v/>
      </c>
      <c r="F250" s="5" t="str">
        <f aca="true">IF(D250="","",D250-TODAY())</f>
        <v/>
      </c>
      <c r="G250" s="5"/>
    </row>
    <row r="251" customFormat="false" ht="15" hidden="false" customHeight="false" outlineLevel="0" collapsed="false">
      <c r="A251" s="5"/>
      <c r="B251" s="5" t="str">
        <f aca="false">IF(A251="","",IFERROR(INDEX(Clients!$B:$B,MATCH(A251,Clients!$A:$A,0)),"Check client ID"))</f>
        <v/>
      </c>
      <c r="C251" s="5"/>
      <c r="D251" s="13"/>
      <c r="E251" s="13" t="str">
        <f aca="false">IF(D251="","",D251-14)</f>
        <v/>
      </c>
      <c r="F251" s="5" t="str">
        <f aca="true">IF(D251="","",D251-TODAY())</f>
        <v/>
      </c>
      <c r="G251" s="5"/>
    </row>
    <row r="252" customFormat="false" ht="15" hidden="false" customHeight="false" outlineLevel="0" collapsed="false">
      <c r="A252" s="5"/>
      <c r="B252" s="5" t="str">
        <f aca="false">IF(A252="","",IFERROR(INDEX(Clients!$B:$B,MATCH(A252,Clients!$A:$A,0)),"Check client ID"))</f>
        <v/>
      </c>
      <c r="C252" s="5"/>
      <c r="D252" s="13"/>
      <c r="E252" s="13" t="str">
        <f aca="false">IF(D252="","",D252-14)</f>
        <v/>
      </c>
      <c r="F252" s="5" t="str">
        <f aca="true">IF(D252="","",D252-TODAY())</f>
        <v/>
      </c>
      <c r="G252" s="5"/>
    </row>
    <row r="253" customFormat="false" ht="15" hidden="false" customHeight="false" outlineLevel="0" collapsed="false">
      <c r="A253" s="5"/>
      <c r="B253" s="5" t="str">
        <f aca="false">IF(A253="","",IFERROR(INDEX(Clients!$B:$B,MATCH(A253,Clients!$A:$A,0)),"Check client ID"))</f>
        <v/>
      </c>
      <c r="C253" s="5"/>
      <c r="D253" s="13"/>
      <c r="E253" s="13" t="str">
        <f aca="false">IF(D253="","",D253-14)</f>
        <v/>
      </c>
      <c r="F253" s="5" t="str">
        <f aca="true">IF(D253="","",D253-TODAY())</f>
        <v/>
      </c>
      <c r="G253" s="5"/>
    </row>
    <row r="254" customFormat="false" ht="15" hidden="false" customHeight="false" outlineLevel="0" collapsed="false">
      <c r="A254" s="5"/>
      <c r="B254" s="5" t="str">
        <f aca="false">IF(A254="","",IFERROR(INDEX(Clients!$B:$B,MATCH(A254,Clients!$A:$A,0)),"Check client ID"))</f>
        <v/>
      </c>
      <c r="C254" s="5"/>
      <c r="D254" s="13"/>
      <c r="E254" s="13" t="str">
        <f aca="false">IF(D254="","",D254-14)</f>
        <v/>
      </c>
      <c r="F254" s="5" t="str">
        <f aca="true">IF(D254="","",D254-TODAY())</f>
        <v/>
      </c>
      <c r="G254" s="5"/>
    </row>
    <row r="255" customFormat="false" ht="15" hidden="false" customHeight="false" outlineLevel="0" collapsed="false">
      <c r="A255" s="5"/>
      <c r="B255" s="5" t="str">
        <f aca="false">IF(A255="","",IFERROR(INDEX(Clients!$B:$B,MATCH(A255,Clients!$A:$A,0)),"Check client ID"))</f>
        <v/>
      </c>
      <c r="C255" s="5"/>
      <c r="D255" s="13"/>
      <c r="E255" s="13" t="str">
        <f aca="false">IF(D255="","",D255-14)</f>
        <v/>
      </c>
      <c r="F255" s="5" t="str">
        <f aca="true">IF(D255="","",D255-TODAY())</f>
        <v/>
      </c>
      <c r="G255" s="5"/>
    </row>
    <row r="256" customFormat="false" ht="15" hidden="false" customHeight="false" outlineLevel="0" collapsed="false">
      <c r="A256" s="5"/>
      <c r="B256" s="5" t="str">
        <f aca="false">IF(A256="","",IFERROR(INDEX(Clients!$B:$B,MATCH(A256,Clients!$A:$A,0)),"Check client ID"))</f>
        <v/>
      </c>
      <c r="C256" s="5"/>
      <c r="D256" s="13"/>
      <c r="E256" s="13" t="str">
        <f aca="false">IF(D256="","",D256-14)</f>
        <v/>
      </c>
      <c r="F256" s="5" t="str">
        <f aca="true">IF(D256="","",D256-TODAY())</f>
        <v/>
      </c>
      <c r="G256" s="5"/>
    </row>
    <row r="257" customFormat="false" ht="15" hidden="false" customHeight="false" outlineLevel="0" collapsed="false">
      <c r="A257" s="5"/>
      <c r="B257" s="5" t="str">
        <f aca="false">IF(A257="","",IFERROR(INDEX(Clients!$B:$B,MATCH(A257,Clients!$A:$A,0)),"Check client ID"))</f>
        <v/>
      </c>
      <c r="C257" s="5"/>
      <c r="D257" s="13"/>
      <c r="E257" s="13" t="str">
        <f aca="false">IF(D257="","",D257-14)</f>
        <v/>
      </c>
      <c r="F257" s="5" t="str">
        <f aca="true">IF(D257="","",D257-TODAY())</f>
        <v/>
      </c>
      <c r="G257" s="5"/>
    </row>
    <row r="258" customFormat="false" ht="15" hidden="false" customHeight="false" outlineLevel="0" collapsed="false">
      <c r="A258" s="5"/>
      <c r="B258" s="5" t="str">
        <f aca="false">IF(A258="","",IFERROR(INDEX(Clients!$B:$B,MATCH(A258,Clients!$A:$A,0)),"Check client ID"))</f>
        <v/>
      </c>
      <c r="C258" s="5"/>
      <c r="D258" s="13"/>
      <c r="E258" s="13" t="str">
        <f aca="false">IF(D258="","",D258-14)</f>
        <v/>
      </c>
      <c r="F258" s="5" t="str">
        <f aca="true">IF(D258="","",D258-TODAY())</f>
        <v/>
      </c>
      <c r="G258" s="5"/>
    </row>
    <row r="259" customFormat="false" ht="15" hidden="false" customHeight="false" outlineLevel="0" collapsed="false">
      <c r="A259" s="5"/>
      <c r="B259" s="5" t="str">
        <f aca="false">IF(A259="","",IFERROR(INDEX(Clients!$B:$B,MATCH(A259,Clients!$A:$A,0)),"Check client ID"))</f>
        <v/>
      </c>
      <c r="C259" s="5"/>
      <c r="D259" s="13"/>
      <c r="E259" s="13" t="str">
        <f aca="false">IF(D259="","",D259-14)</f>
        <v/>
      </c>
      <c r="F259" s="5" t="str">
        <f aca="true">IF(D259="","",D259-TODAY())</f>
        <v/>
      </c>
      <c r="G259" s="5"/>
    </row>
    <row r="260" customFormat="false" ht="15" hidden="false" customHeight="false" outlineLevel="0" collapsed="false">
      <c r="A260" s="5"/>
      <c r="B260" s="5" t="str">
        <f aca="false">IF(A260="","",IFERROR(INDEX(Clients!$B:$B,MATCH(A260,Clients!$A:$A,0)),"Check client ID"))</f>
        <v/>
      </c>
      <c r="C260" s="5"/>
      <c r="D260" s="13"/>
      <c r="E260" s="13" t="str">
        <f aca="false">IF(D260="","",D260-14)</f>
        <v/>
      </c>
      <c r="F260" s="5" t="str">
        <f aca="true">IF(D260="","",D260-TODAY())</f>
        <v/>
      </c>
      <c r="G260" s="5"/>
    </row>
    <row r="261" customFormat="false" ht="15" hidden="false" customHeight="false" outlineLevel="0" collapsed="false">
      <c r="A261" s="5"/>
      <c r="B261" s="5" t="str">
        <f aca="false">IF(A261="","",IFERROR(INDEX(Clients!$B:$B,MATCH(A261,Clients!$A:$A,0)),"Check client ID"))</f>
        <v/>
      </c>
      <c r="C261" s="5"/>
      <c r="D261" s="13"/>
      <c r="E261" s="13" t="str">
        <f aca="false">IF(D261="","",D261-14)</f>
        <v/>
      </c>
      <c r="F261" s="5" t="str">
        <f aca="true">IF(D261="","",D261-TODAY())</f>
        <v/>
      </c>
      <c r="G261" s="5"/>
    </row>
    <row r="262" customFormat="false" ht="15" hidden="false" customHeight="false" outlineLevel="0" collapsed="false">
      <c r="A262" s="5"/>
      <c r="B262" s="5" t="str">
        <f aca="false">IF(A262="","",IFERROR(INDEX(Clients!$B:$B,MATCH(A262,Clients!$A:$A,0)),"Check client ID"))</f>
        <v/>
      </c>
      <c r="C262" s="5"/>
      <c r="D262" s="13"/>
      <c r="E262" s="13" t="str">
        <f aca="false">IF(D262="","",D262-14)</f>
        <v/>
      </c>
      <c r="F262" s="5" t="str">
        <f aca="true">IF(D262="","",D262-TODAY())</f>
        <v/>
      </c>
      <c r="G262" s="5"/>
    </row>
    <row r="263" customFormat="false" ht="15" hidden="false" customHeight="false" outlineLevel="0" collapsed="false">
      <c r="A263" s="5"/>
      <c r="B263" s="5" t="str">
        <f aca="false">IF(A263="","",IFERROR(INDEX(Clients!$B:$B,MATCH(A263,Clients!$A:$A,0)),"Check client ID"))</f>
        <v/>
      </c>
      <c r="C263" s="5"/>
      <c r="D263" s="13"/>
      <c r="E263" s="13" t="str">
        <f aca="false">IF(D263="","",D263-14)</f>
        <v/>
      </c>
      <c r="F263" s="5" t="str">
        <f aca="true">IF(D263="","",D263-TODAY())</f>
        <v/>
      </c>
      <c r="G263" s="5"/>
    </row>
    <row r="264" customFormat="false" ht="15" hidden="false" customHeight="false" outlineLevel="0" collapsed="false">
      <c r="A264" s="5"/>
      <c r="B264" s="5" t="str">
        <f aca="false">IF(A264="","",IFERROR(INDEX(Clients!$B:$B,MATCH(A264,Clients!$A:$A,0)),"Check client ID"))</f>
        <v/>
      </c>
      <c r="C264" s="5"/>
      <c r="D264" s="13"/>
      <c r="E264" s="13" t="str">
        <f aca="false">IF(D264="","",D264-14)</f>
        <v/>
      </c>
      <c r="F264" s="5" t="str">
        <f aca="true">IF(D264="","",D264-TODAY())</f>
        <v/>
      </c>
      <c r="G264" s="5"/>
    </row>
    <row r="265" customFormat="false" ht="15" hidden="false" customHeight="false" outlineLevel="0" collapsed="false">
      <c r="A265" s="5"/>
      <c r="B265" s="5" t="str">
        <f aca="false">IF(A265="","",IFERROR(INDEX(Clients!$B:$B,MATCH(A265,Clients!$A:$A,0)),"Check client ID"))</f>
        <v/>
      </c>
      <c r="C265" s="5"/>
      <c r="D265" s="13"/>
      <c r="E265" s="13" t="str">
        <f aca="false">IF(D265="","",D265-14)</f>
        <v/>
      </c>
      <c r="F265" s="5" t="str">
        <f aca="true">IF(D265="","",D265-TODAY())</f>
        <v/>
      </c>
      <c r="G265" s="5"/>
    </row>
    <row r="266" customFormat="false" ht="15" hidden="false" customHeight="false" outlineLevel="0" collapsed="false">
      <c r="A266" s="5"/>
      <c r="B266" s="5" t="str">
        <f aca="false">IF(A266="","",IFERROR(INDEX(Clients!$B:$B,MATCH(A266,Clients!$A:$A,0)),"Check client ID"))</f>
        <v/>
      </c>
      <c r="C266" s="5"/>
      <c r="D266" s="13"/>
      <c r="E266" s="13" t="str">
        <f aca="false">IF(D266="","",D266-14)</f>
        <v/>
      </c>
      <c r="F266" s="5" t="str">
        <f aca="true">IF(D266="","",D266-TODAY())</f>
        <v/>
      </c>
      <c r="G266" s="5"/>
    </row>
    <row r="267" customFormat="false" ht="15" hidden="false" customHeight="false" outlineLevel="0" collapsed="false">
      <c r="A267" s="5"/>
      <c r="B267" s="5" t="str">
        <f aca="false">IF(A267="","",IFERROR(INDEX(Clients!$B:$B,MATCH(A267,Clients!$A:$A,0)),"Check client ID"))</f>
        <v/>
      </c>
      <c r="C267" s="5"/>
      <c r="D267" s="13"/>
      <c r="E267" s="13" t="str">
        <f aca="false">IF(D267="","",D267-14)</f>
        <v/>
      </c>
      <c r="F267" s="5" t="str">
        <f aca="true">IF(D267="","",D267-TODAY())</f>
        <v/>
      </c>
      <c r="G267" s="5"/>
    </row>
    <row r="268" customFormat="false" ht="15" hidden="false" customHeight="false" outlineLevel="0" collapsed="false">
      <c r="A268" s="5"/>
      <c r="B268" s="5" t="str">
        <f aca="false">IF(A268="","",IFERROR(INDEX(Clients!$B:$B,MATCH(A268,Clients!$A:$A,0)),"Check client ID"))</f>
        <v/>
      </c>
      <c r="C268" s="5"/>
      <c r="D268" s="13"/>
      <c r="E268" s="13" t="str">
        <f aca="false">IF(D268="","",D268-14)</f>
        <v/>
      </c>
      <c r="F268" s="5" t="str">
        <f aca="true">IF(D268="","",D268-TODAY())</f>
        <v/>
      </c>
      <c r="G268" s="5"/>
    </row>
    <row r="269" customFormat="false" ht="15" hidden="false" customHeight="false" outlineLevel="0" collapsed="false">
      <c r="A269" s="5"/>
      <c r="B269" s="5" t="str">
        <f aca="false">IF(A269="","",IFERROR(INDEX(Clients!$B:$B,MATCH(A269,Clients!$A:$A,0)),"Check client ID"))</f>
        <v/>
      </c>
      <c r="C269" s="5"/>
      <c r="D269" s="13"/>
      <c r="E269" s="13" t="str">
        <f aca="false">IF(D269="","",D269-14)</f>
        <v/>
      </c>
      <c r="F269" s="5" t="str">
        <f aca="true">IF(D269="","",D269-TODAY())</f>
        <v/>
      </c>
      <c r="G269" s="5"/>
    </row>
    <row r="270" customFormat="false" ht="15" hidden="false" customHeight="false" outlineLevel="0" collapsed="false">
      <c r="A270" s="5"/>
      <c r="B270" s="5" t="str">
        <f aca="false">IF(A270="","",IFERROR(INDEX(Clients!$B:$B,MATCH(A270,Clients!$A:$A,0)),"Check client ID"))</f>
        <v/>
      </c>
      <c r="C270" s="5"/>
      <c r="D270" s="13"/>
      <c r="E270" s="13" t="str">
        <f aca="false">IF(D270="","",D270-14)</f>
        <v/>
      </c>
      <c r="F270" s="5" t="str">
        <f aca="true">IF(D270="","",D270-TODAY())</f>
        <v/>
      </c>
      <c r="G270" s="5"/>
    </row>
    <row r="271" customFormat="false" ht="15" hidden="false" customHeight="false" outlineLevel="0" collapsed="false">
      <c r="A271" s="5"/>
      <c r="B271" s="5" t="str">
        <f aca="false">IF(A271="","",IFERROR(INDEX(Clients!$B:$B,MATCH(A271,Clients!$A:$A,0)),"Check client ID"))</f>
        <v/>
      </c>
      <c r="C271" s="5"/>
      <c r="D271" s="13"/>
      <c r="E271" s="13" t="str">
        <f aca="false">IF(D271="","",D271-14)</f>
        <v/>
      </c>
      <c r="F271" s="5" t="str">
        <f aca="true">IF(D271="","",D271-TODAY())</f>
        <v/>
      </c>
      <c r="G271" s="5"/>
    </row>
    <row r="272" customFormat="false" ht="15" hidden="false" customHeight="false" outlineLevel="0" collapsed="false">
      <c r="A272" s="5"/>
      <c r="B272" s="5" t="str">
        <f aca="false">IF(A272="","",IFERROR(INDEX(Clients!$B:$B,MATCH(A272,Clients!$A:$A,0)),"Check client ID"))</f>
        <v/>
      </c>
      <c r="C272" s="5"/>
      <c r="D272" s="13"/>
      <c r="E272" s="13" t="str">
        <f aca="false">IF(D272="","",D272-14)</f>
        <v/>
      </c>
      <c r="F272" s="5" t="str">
        <f aca="true">IF(D272="","",D272-TODAY())</f>
        <v/>
      </c>
      <c r="G272" s="5"/>
    </row>
    <row r="273" customFormat="false" ht="15" hidden="false" customHeight="false" outlineLevel="0" collapsed="false">
      <c r="A273" s="5"/>
      <c r="B273" s="5" t="str">
        <f aca="false">IF(A273="","",IFERROR(INDEX(Clients!$B:$B,MATCH(A273,Clients!$A:$A,0)),"Check client ID"))</f>
        <v/>
      </c>
      <c r="C273" s="5"/>
      <c r="D273" s="13"/>
      <c r="E273" s="13" t="str">
        <f aca="false">IF(D273="","",D273-14)</f>
        <v/>
      </c>
      <c r="F273" s="5" t="str">
        <f aca="true">IF(D273="","",D273-TODAY())</f>
        <v/>
      </c>
      <c r="G273" s="5"/>
    </row>
    <row r="274" customFormat="false" ht="15" hidden="false" customHeight="false" outlineLevel="0" collapsed="false">
      <c r="A274" s="5"/>
      <c r="B274" s="5" t="str">
        <f aca="false">IF(A274="","",IFERROR(INDEX(Clients!$B:$B,MATCH(A274,Clients!$A:$A,0)),"Check client ID"))</f>
        <v/>
      </c>
      <c r="C274" s="5"/>
      <c r="D274" s="13"/>
      <c r="E274" s="13" t="str">
        <f aca="false">IF(D274="","",D274-14)</f>
        <v/>
      </c>
      <c r="F274" s="5" t="str">
        <f aca="true">IF(D274="","",D274-TODAY())</f>
        <v/>
      </c>
      <c r="G274" s="5"/>
    </row>
    <row r="275" customFormat="false" ht="15" hidden="false" customHeight="false" outlineLevel="0" collapsed="false">
      <c r="A275" s="5"/>
      <c r="B275" s="5" t="str">
        <f aca="false">IF(A275="","",IFERROR(INDEX(Clients!$B:$B,MATCH(A275,Clients!$A:$A,0)),"Check client ID"))</f>
        <v/>
      </c>
      <c r="C275" s="5"/>
      <c r="D275" s="13"/>
      <c r="E275" s="13" t="str">
        <f aca="false">IF(D275="","",D275-14)</f>
        <v/>
      </c>
      <c r="F275" s="5" t="str">
        <f aca="true">IF(D275="","",D275-TODAY())</f>
        <v/>
      </c>
      <c r="G275" s="5"/>
    </row>
    <row r="276" customFormat="false" ht="15" hidden="false" customHeight="false" outlineLevel="0" collapsed="false">
      <c r="A276" s="5"/>
      <c r="B276" s="5" t="str">
        <f aca="false">IF(A276="","",IFERROR(INDEX(Clients!$B:$B,MATCH(A276,Clients!$A:$A,0)),"Check client ID"))</f>
        <v/>
      </c>
      <c r="C276" s="5"/>
      <c r="D276" s="13"/>
      <c r="E276" s="13" t="str">
        <f aca="false">IF(D276="","",D276-14)</f>
        <v/>
      </c>
      <c r="F276" s="5" t="str">
        <f aca="true">IF(D276="","",D276-TODAY())</f>
        <v/>
      </c>
      <c r="G276" s="5"/>
    </row>
    <row r="277" customFormat="false" ht="15" hidden="false" customHeight="false" outlineLevel="0" collapsed="false">
      <c r="A277" s="5"/>
      <c r="B277" s="5" t="str">
        <f aca="false">IF(A277="","",IFERROR(INDEX(Clients!$B:$B,MATCH(A277,Clients!$A:$A,0)),"Check client ID"))</f>
        <v/>
      </c>
      <c r="C277" s="5"/>
      <c r="D277" s="13"/>
      <c r="E277" s="13" t="str">
        <f aca="false">IF(D277="","",D277-14)</f>
        <v/>
      </c>
      <c r="F277" s="5" t="str">
        <f aca="true">IF(D277="","",D277-TODAY())</f>
        <v/>
      </c>
      <c r="G277" s="5"/>
    </row>
    <row r="278" customFormat="false" ht="15" hidden="false" customHeight="false" outlineLevel="0" collapsed="false">
      <c r="A278" s="5"/>
      <c r="B278" s="5" t="str">
        <f aca="false">IF(A278="","",IFERROR(INDEX(Clients!$B:$B,MATCH(A278,Clients!$A:$A,0)),"Check client ID"))</f>
        <v/>
      </c>
      <c r="C278" s="5"/>
      <c r="D278" s="13"/>
      <c r="E278" s="13" t="str">
        <f aca="false">IF(D278="","",D278-14)</f>
        <v/>
      </c>
      <c r="F278" s="5" t="str">
        <f aca="true">IF(D278="","",D278-TODAY())</f>
        <v/>
      </c>
      <c r="G278" s="5"/>
    </row>
    <row r="279" customFormat="false" ht="15" hidden="false" customHeight="false" outlineLevel="0" collapsed="false">
      <c r="A279" s="5"/>
      <c r="B279" s="5" t="str">
        <f aca="false">IF(A279="","",IFERROR(INDEX(Clients!$B:$B,MATCH(A279,Clients!$A:$A,0)),"Check client ID"))</f>
        <v/>
      </c>
      <c r="C279" s="5"/>
      <c r="D279" s="13"/>
      <c r="E279" s="13" t="str">
        <f aca="false">IF(D279="","",D279-14)</f>
        <v/>
      </c>
      <c r="F279" s="5" t="str">
        <f aca="true">IF(D279="","",D279-TODAY())</f>
        <v/>
      </c>
      <c r="G279" s="5"/>
    </row>
    <row r="280" customFormat="false" ht="15" hidden="false" customHeight="false" outlineLevel="0" collapsed="false">
      <c r="A280" s="5"/>
      <c r="B280" s="5" t="str">
        <f aca="false">IF(A280="","",IFERROR(INDEX(Clients!$B:$B,MATCH(A280,Clients!$A:$A,0)),"Check client ID"))</f>
        <v/>
      </c>
      <c r="C280" s="5"/>
      <c r="D280" s="13"/>
      <c r="E280" s="13" t="str">
        <f aca="false">IF(D280="","",D280-14)</f>
        <v/>
      </c>
      <c r="F280" s="5" t="str">
        <f aca="true">IF(D280="","",D280-TODAY())</f>
        <v/>
      </c>
      <c r="G280" s="5"/>
    </row>
    <row r="281" customFormat="false" ht="15" hidden="false" customHeight="false" outlineLevel="0" collapsed="false">
      <c r="A281" s="5"/>
      <c r="B281" s="5" t="str">
        <f aca="false">IF(A281="","",IFERROR(INDEX(Clients!$B:$B,MATCH(A281,Clients!$A:$A,0)),"Check client ID"))</f>
        <v/>
      </c>
      <c r="C281" s="5"/>
      <c r="D281" s="13"/>
      <c r="E281" s="13" t="str">
        <f aca="false">IF(D281="","",D281-14)</f>
        <v/>
      </c>
      <c r="F281" s="5" t="str">
        <f aca="true">IF(D281="","",D281-TODAY())</f>
        <v/>
      </c>
      <c r="G281" s="5"/>
    </row>
    <row r="282" customFormat="false" ht="15" hidden="false" customHeight="false" outlineLevel="0" collapsed="false">
      <c r="A282" s="5"/>
      <c r="B282" s="5" t="str">
        <f aca="false">IF(A282="","",IFERROR(INDEX(Clients!$B:$B,MATCH(A282,Clients!$A:$A,0)),"Check client ID"))</f>
        <v/>
      </c>
      <c r="C282" s="5"/>
      <c r="D282" s="13"/>
      <c r="E282" s="13" t="str">
        <f aca="false">IF(D282="","",D282-14)</f>
        <v/>
      </c>
      <c r="F282" s="5" t="str">
        <f aca="true">IF(D282="","",D282-TODAY())</f>
        <v/>
      </c>
      <c r="G282" s="5"/>
    </row>
    <row r="283" customFormat="false" ht="15" hidden="false" customHeight="false" outlineLevel="0" collapsed="false">
      <c r="A283" s="5"/>
      <c r="B283" s="5" t="str">
        <f aca="false">IF(A283="","",IFERROR(INDEX(Clients!$B:$B,MATCH(A283,Clients!$A:$A,0)),"Check client ID"))</f>
        <v/>
      </c>
      <c r="C283" s="5"/>
      <c r="D283" s="13"/>
      <c r="E283" s="13" t="str">
        <f aca="false">IF(D283="","",D283-14)</f>
        <v/>
      </c>
      <c r="F283" s="5" t="str">
        <f aca="true">IF(D283="","",D283-TODAY())</f>
        <v/>
      </c>
      <c r="G283" s="5"/>
    </row>
    <row r="284" customFormat="false" ht="15" hidden="false" customHeight="false" outlineLevel="0" collapsed="false">
      <c r="A284" s="5"/>
      <c r="B284" s="5" t="str">
        <f aca="false">IF(A284="","",IFERROR(INDEX(Clients!$B:$B,MATCH(A284,Clients!$A:$A,0)),"Check client ID"))</f>
        <v/>
      </c>
      <c r="C284" s="5"/>
      <c r="D284" s="13"/>
      <c r="E284" s="13" t="str">
        <f aca="false">IF(D284="","",D284-14)</f>
        <v/>
      </c>
      <c r="F284" s="5" t="str">
        <f aca="true">IF(D284="","",D284-TODAY())</f>
        <v/>
      </c>
      <c r="G284" s="5"/>
    </row>
    <row r="285" customFormat="false" ht="15" hidden="false" customHeight="false" outlineLevel="0" collapsed="false">
      <c r="A285" s="5"/>
      <c r="B285" s="5" t="str">
        <f aca="false">IF(A285="","",IFERROR(INDEX(Clients!$B:$B,MATCH(A285,Clients!$A:$A,0)),"Check client ID"))</f>
        <v/>
      </c>
      <c r="C285" s="5"/>
      <c r="D285" s="13"/>
      <c r="E285" s="13" t="str">
        <f aca="false">IF(D285="","",D285-14)</f>
        <v/>
      </c>
      <c r="F285" s="5" t="str">
        <f aca="true">IF(D285="","",D285-TODAY())</f>
        <v/>
      </c>
      <c r="G285" s="5"/>
    </row>
    <row r="286" customFormat="false" ht="15" hidden="false" customHeight="false" outlineLevel="0" collapsed="false">
      <c r="A286" s="5"/>
      <c r="B286" s="5" t="str">
        <f aca="false">IF(A286="","",IFERROR(INDEX(Clients!$B:$B,MATCH(A286,Clients!$A:$A,0)),"Check client ID"))</f>
        <v/>
      </c>
      <c r="C286" s="5"/>
      <c r="D286" s="13"/>
      <c r="E286" s="13" t="str">
        <f aca="false">IF(D286="","",D286-14)</f>
        <v/>
      </c>
      <c r="F286" s="5" t="str">
        <f aca="true">IF(D286="","",D286-TODAY())</f>
        <v/>
      </c>
      <c r="G286" s="5"/>
    </row>
    <row r="287" customFormat="false" ht="15" hidden="false" customHeight="false" outlineLevel="0" collapsed="false">
      <c r="A287" s="5"/>
      <c r="B287" s="5" t="str">
        <f aca="false">IF(A287="","",IFERROR(INDEX(Clients!$B:$B,MATCH(A287,Clients!$A:$A,0)),"Check client ID"))</f>
        <v/>
      </c>
      <c r="C287" s="5"/>
      <c r="D287" s="13"/>
      <c r="E287" s="13" t="str">
        <f aca="false">IF(D287="","",D287-14)</f>
        <v/>
      </c>
      <c r="F287" s="5" t="str">
        <f aca="true">IF(D287="","",D287-TODAY())</f>
        <v/>
      </c>
      <c r="G287" s="5"/>
    </row>
    <row r="288" customFormat="false" ht="15" hidden="false" customHeight="false" outlineLevel="0" collapsed="false">
      <c r="A288" s="5"/>
      <c r="B288" s="5" t="str">
        <f aca="false">IF(A288="","",IFERROR(INDEX(Clients!$B:$B,MATCH(A288,Clients!$A:$A,0)),"Check client ID"))</f>
        <v/>
      </c>
      <c r="C288" s="5"/>
      <c r="D288" s="13"/>
      <c r="E288" s="13" t="str">
        <f aca="false">IF(D288="","",D288-14)</f>
        <v/>
      </c>
      <c r="F288" s="5" t="str">
        <f aca="true">IF(D288="","",D288-TODAY())</f>
        <v/>
      </c>
      <c r="G288" s="5"/>
    </row>
    <row r="289" customFormat="false" ht="15" hidden="false" customHeight="false" outlineLevel="0" collapsed="false">
      <c r="A289" s="5"/>
      <c r="B289" s="5" t="str">
        <f aca="false">IF(A289="","",IFERROR(INDEX(Clients!$B:$B,MATCH(A289,Clients!$A:$A,0)),"Check client ID"))</f>
        <v/>
      </c>
      <c r="C289" s="5"/>
      <c r="D289" s="13"/>
      <c r="E289" s="13" t="str">
        <f aca="false">IF(D289="","",D289-14)</f>
        <v/>
      </c>
      <c r="F289" s="5" t="str">
        <f aca="true">IF(D289="","",D289-TODAY())</f>
        <v/>
      </c>
      <c r="G289" s="5"/>
    </row>
    <row r="290" customFormat="false" ht="15" hidden="false" customHeight="false" outlineLevel="0" collapsed="false">
      <c r="A290" s="5"/>
      <c r="B290" s="5" t="str">
        <f aca="false">IF(A290="","",IFERROR(INDEX(Clients!$B:$B,MATCH(A290,Clients!$A:$A,0)),"Check client ID"))</f>
        <v/>
      </c>
      <c r="C290" s="5"/>
      <c r="D290" s="13"/>
      <c r="E290" s="13" t="str">
        <f aca="false">IF(D290="","",D290-14)</f>
        <v/>
      </c>
      <c r="F290" s="5" t="str">
        <f aca="true">IF(D290="","",D290-TODAY())</f>
        <v/>
      </c>
      <c r="G290" s="5"/>
    </row>
    <row r="291" customFormat="false" ht="15" hidden="false" customHeight="false" outlineLevel="0" collapsed="false">
      <c r="A291" s="5"/>
      <c r="B291" s="5" t="str">
        <f aca="false">IF(A291="","",IFERROR(INDEX(Clients!$B:$B,MATCH(A291,Clients!$A:$A,0)),"Check client ID"))</f>
        <v/>
      </c>
      <c r="C291" s="5"/>
      <c r="D291" s="13"/>
      <c r="E291" s="13" t="str">
        <f aca="false">IF(D291="","",D291-14)</f>
        <v/>
      </c>
      <c r="F291" s="5" t="str">
        <f aca="true">IF(D291="","",D291-TODAY())</f>
        <v/>
      </c>
      <c r="G291" s="5"/>
    </row>
    <row r="292" customFormat="false" ht="15" hidden="false" customHeight="false" outlineLevel="0" collapsed="false">
      <c r="A292" s="5"/>
      <c r="B292" s="5" t="str">
        <f aca="false">IF(A292="","",IFERROR(INDEX(Clients!$B:$B,MATCH(A292,Clients!$A:$A,0)),"Check client ID"))</f>
        <v/>
      </c>
      <c r="C292" s="5"/>
      <c r="D292" s="13"/>
      <c r="E292" s="13" t="str">
        <f aca="false">IF(D292="","",D292-14)</f>
        <v/>
      </c>
      <c r="F292" s="5" t="str">
        <f aca="true">IF(D292="","",D292-TODAY())</f>
        <v/>
      </c>
      <c r="G292" s="5"/>
    </row>
    <row r="293" customFormat="false" ht="15" hidden="false" customHeight="false" outlineLevel="0" collapsed="false">
      <c r="A293" s="5"/>
      <c r="B293" s="5" t="str">
        <f aca="false">IF(A293="","",IFERROR(INDEX(Clients!$B:$B,MATCH(A293,Clients!$A:$A,0)),"Check client ID"))</f>
        <v/>
      </c>
      <c r="C293" s="5"/>
      <c r="D293" s="13"/>
      <c r="E293" s="13" t="str">
        <f aca="false">IF(D293="","",D293-14)</f>
        <v/>
      </c>
      <c r="F293" s="5" t="str">
        <f aca="true">IF(D293="","",D293-TODAY())</f>
        <v/>
      </c>
      <c r="G293" s="5"/>
    </row>
    <row r="294" customFormat="false" ht="15" hidden="false" customHeight="false" outlineLevel="0" collapsed="false">
      <c r="A294" s="5"/>
      <c r="B294" s="5" t="str">
        <f aca="false">IF(A294="","",IFERROR(INDEX(Clients!$B:$B,MATCH(A294,Clients!$A:$A,0)),"Check client ID"))</f>
        <v/>
      </c>
      <c r="C294" s="5"/>
      <c r="D294" s="13"/>
      <c r="E294" s="13" t="str">
        <f aca="false">IF(D294="","",D294-14)</f>
        <v/>
      </c>
      <c r="F294" s="5" t="str">
        <f aca="true">IF(D294="","",D294-TODAY())</f>
        <v/>
      </c>
      <c r="G294" s="5"/>
    </row>
    <row r="295" customFormat="false" ht="15" hidden="false" customHeight="false" outlineLevel="0" collapsed="false">
      <c r="A295" s="5"/>
      <c r="B295" s="5" t="str">
        <f aca="false">IF(A295="","",IFERROR(INDEX(Clients!$B:$B,MATCH(A295,Clients!$A:$A,0)),"Check client ID"))</f>
        <v/>
      </c>
      <c r="C295" s="5"/>
      <c r="D295" s="13"/>
      <c r="E295" s="13" t="str">
        <f aca="false">IF(D295="","",D295-14)</f>
        <v/>
      </c>
      <c r="F295" s="5" t="str">
        <f aca="true">IF(D295="","",D295-TODAY())</f>
        <v/>
      </c>
      <c r="G295" s="5"/>
    </row>
    <row r="296" customFormat="false" ht="15" hidden="false" customHeight="false" outlineLevel="0" collapsed="false">
      <c r="A296" s="5"/>
      <c r="B296" s="5" t="str">
        <f aca="false">IF(A296="","",IFERROR(INDEX(Clients!$B:$B,MATCH(A296,Clients!$A:$A,0)),"Check client ID"))</f>
        <v/>
      </c>
      <c r="C296" s="5"/>
      <c r="D296" s="13"/>
      <c r="E296" s="13" t="str">
        <f aca="false">IF(D296="","",D296-14)</f>
        <v/>
      </c>
      <c r="F296" s="5" t="str">
        <f aca="true">IF(D296="","",D296-TODAY())</f>
        <v/>
      </c>
      <c r="G296" s="5"/>
    </row>
    <row r="297" customFormat="false" ht="15" hidden="false" customHeight="false" outlineLevel="0" collapsed="false">
      <c r="A297" s="5"/>
      <c r="B297" s="5" t="str">
        <f aca="false">IF(A297="","",IFERROR(INDEX(Clients!$B:$B,MATCH(A297,Clients!$A:$A,0)),"Check client ID"))</f>
        <v/>
      </c>
      <c r="C297" s="5"/>
      <c r="D297" s="13"/>
      <c r="E297" s="13" t="str">
        <f aca="false">IF(D297="","",D297-14)</f>
        <v/>
      </c>
      <c r="F297" s="5" t="str">
        <f aca="true">IF(D297="","",D297-TODAY())</f>
        <v/>
      </c>
      <c r="G297" s="5"/>
    </row>
    <row r="298" customFormat="false" ht="15" hidden="false" customHeight="false" outlineLevel="0" collapsed="false">
      <c r="A298" s="5"/>
      <c r="B298" s="5" t="str">
        <f aca="false">IF(A298="","",IFERROR(INDEX(Clients!$B:$B,MATCH(A298,Clients!$A:$A,0)),"Check client ID"))</f>
        <v/>
      </c>
      <c r="C298" s="5"/>
      <c r="D298" s="13"/>
      <c r="E298" s="13" t="str">
        <f aca="false">IF(D298="","",D298-14)</f>
        <v/>
      </c>
      <c r="F298" s="5" t="str">
        <f aca="true">IF(D298="","",D298-TODAY())</f>
        <v/>
      </c>
      <c r="G298" s="5"/>
    </row>
    <row r="299" customFormat="false" ht="15" hidden="false" customHeight="false" outlineLevel="0" collapsed="false">
      <c r="A299" s="5"/>
      <c r="B299" s="5" t="str">
        <f aca="false">IF(A299="","",IFERROR(INDEX(Clients!$B:$B,MATCH(A299,Clients!$A:$A,0)),"Check client ID"))</f>
        <v/>
      </c>
      <c r="C299" s="5"/>
      <c r="D299" s="13"/>
      <c r="E299" s="13" t="str">
        <f aca="false">IF(D299="","",D299-14)</f>
        <v/>
      </c>
      <c r="F299" s="5" t="str">
        <f aca="true">IF(D299="","",D299-TODAY())</f>
        <v/>
      </c>
      <c r="G299" s="5"/>
    </row>
    <row r="300" customFormat="false" ht="15" hidden="false" customHeight="false" outlineLevel="0" collapsed="false">
      <c r="A300" s="5"/>
      <c r="B300" s="5" t="str">
        <f aca="false">IF(A300="","",IFERROR(INDEX(Clients!$B:$B,MATCH(A300,Clients!$A:$A,0)),"Check client ID"))</f>
        <v/>
      </c>
      <c r="C300" s="5"/>
      <c r="D300" s="13"/>
      <c r="E300" s="13" t="str">
        <f aca="false">IF(D300="","",D300-14)</f>
        <v/>
      </c>
      <c r="F300" s="5" t="str">
        <f aca="true">IF(D300="","",D300-TODAY())</f>
        <v/>
      </c>
      <c r="G300" s="5"/>
    </row>
    <row r="301" customFormat="false" ht="15" hidden="false" customHeight="false" outlineLevel="0" collapsed="false">
      <c r="A301" s="5"/>
      <c r="B301" s="5" t="str">
        <f aca="false">IF(A301="","",IFERROR(INDEX(Clients!$B:$B,MATCH(A301,Clients!$A:$A,0)),"Check client ID"))</f>
        <v/>
      </c>
      <c r="C301" s="5"/>
      <c r="D301" s="13"/>
      <c r="E301" s="13" t="str">
        <f aca="false">IF(D301="","",D301-14)</f>
        <v/>
      </c>
      <c r="F301" s="5" t="str">
        <f aca="true">IF(D301="","",D301-TODAY())</f>
        <v/>
      </c>
      <c r="G301" s="5"/>
    </row>
  </sheetData>
  <autoFilter ref="A1:G301"/>
  <conditionalFormatting sqref="A2:G301">
    <cfRule type="expression" priority="2" aboveAverage="0" equalAverage="0" bottom="0" percent="0" rank="0" text="" dxfId="5">
      <formula>AND($F2&lt;&gt;"",$F2&lt;=14,$G2&lt;&gt;"Yes")</formula>
    </cfRule>
  </conditionalFormatting>
  <dataValidations count="1">
    <dataValidation allowBlank="true" errorStyle="stop" operator="between" showDropDown="false" showErrorMessage="false" showInputMessage="false" sqref="G2:G301" type="list">
      <formula1>Lists!$G$2:$G$3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6" t="s">
        <v>86</v>
      </c>
      <c r="B1" s="16" t="s">
        <v>87</v>
      </c>
      <c r="C1" s="16" t="s">
        <v>88</v>
      </c>
      <c r="D1" s="16" t="s">
        <v>89</v>
      </c>
      <c r="E1" s="16" t="s">
        <v>35</v>
      </c>
      <c r="F1" s="16" t="s">
        <v>30</v>
      </c>
      <c r="G1" s="16" t="s">
        <v>90</v>
      </c>
      <c r="H1" s="16" t="s">
        <v>36</v>
      </c>
    </row>
    <row r="2" customFormat="false" ht="15" hidden="false" customHeight="false" outlineLevel="0" collapsed="false">
      <c r="A2" s="18" t="s">
        <v>64</v>
      </c>
      <c r="B2" s="18" t="s">
        <v>91</v>
      </c>
      <c r="C2" s="18" t="s">
        <v>92</v>
      </c>
      <c r="D2" s="18" t="s">
        <v>76</v>
      </c>
      <c r="E2" s="18" t="s">
        <v>93</v>
      </c>
      <c r="F2" s="18" t="s">
        <v>94</v>
      </c>
      <c r="G2" s="18" t="s">
        <v>47</v>
      </c>
      <c r="H2" s="18" t="s">
        <v>49</v>
      </c>
    </row>
    <row r="3" customFormat="false" ht="15" hidden="false" customHeight="false" outlineLevel="0" collapsed="false">
      <c r="A3" s="18" t="s">
        <v>95</v>
      </c>
      <c r="B3" s="18" t="s">
        <v>96</v>
      </c>
      <c r="C3" s="18" t="s">
        <v>77</v>
      </c>
      <c r="D3" s="18" t="s">
        <v>97</v>
      </c>
      <c r="E3" s="18" t="s">
        <v>48</v>
      </c>
      <c r="F3" s="18" t="s">
        <v>44</v>
      </c>
      <c r="G3" s="18" t="s">
        <v>85</v>
      </c>
      <c r="H3" s="18" t="s">
        <v>98</v>
      </c>
    </row>
    <row r="4" customFormat="false" ht="15" hidden="false" customHeight="false" outlineLevel="0" collapsed="false">
      <c r="A4" s="18" t="s">
        <v>99</v>
      </c>
      <c r="B4" s="18" t="s">
        <v>100</v>
      </c>
      <c r="C4" s="18" t="s">
        <v>101</v>
      </c>
      <c r="D4" s="18" t="s">
        <v>102</v>
      </c>
      <c r="E4" s="18" t="s">
        <v>103</v>
      </c>
      <c r="F4" s="18" t="s">
        <v>104</v>
      </c>
      <c r="H4" s="18" t="s">
        <v>105</v>
      </c>
    </row>
    <row r="5" customFormat="false" ht="15" hidden="false" customHeight="false" outlineLevel="0" collapsed="false">
      <c r="A5" s="18" t="s">
        <v>106</v>
      </c>
      <c r="B5" s="18" t="s">
        <v>8</v>
      </c>
      <c r="D5" s="18" t="s">
        <v>107</v>
      </c>
      <c r="F5" s="18" t="s">
        <v>108</v>
      </c>
      <c r="H5" s="18" t="s">
        <v>109</v>
      </c>
    </row>
    <row r="6" customFormat="false" ht="15" hidden="false" customHeight="false" outlineLevel="0" collapsed="false">
      <c r="A6" s="18" t="s">
        <v>110</v>
      </c>
      <c r="B6" s="18" t="s">
        <v>9</v>
      </c>
      <c r="H6" s="18" t="s">
        <v>111</v>
      </c>
    </row>
    <row r="7" customFormat="false" ht="15" hidden="false" customHeight="false" outlineLevel="0" collapsed="false">
      <c r="A7" s="18" t="s">
        <v>112</v>
      </c>
      <c r="B7" s="18" t="s">
        <v>113</v>
      </c>
      <c r="H7" s="18" t="s">
        <v>114</v>
      </c>
    </row>
    <row r="8" customFormat="false" ht="15" hidden="false" customHeight="false" outlineLevel="0" collapsed="false">
      <c r="A8" s="18" t="s">
        <v>115</v>
      </c>
      <c r="H8" s="18" t="s">
        <v>116</v>
      </c>
    </row>
    <row r="9" customFormat="false" ht="15" hidden="false" customHeight="false" outlineLevel="0" collapsed="false">
      <c r="A9" s="18" t="s">
        <v>117</v>
      </c>
      <c r="H9" s="18" t="s">
        <v>108</v>
      </c>
    </row>
    <row r="10" customFormat="false" ht="15" hidden="false" customHeight="false" outlineLevel="0" collapsed="false">
      <c r="A10" s="18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2026-10-04T05:10:37Z</dcterms:created>
  <dc:creator>openpyxl</dc:creator>
  <dc:description/>
  <dc:language>en-US</dc:language>
  <cp:lastModifiedBy/>
  <dcterms:modified xsi:type="dcterms:W3CDTF">2026-10-04T05:10:37Z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